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Student_Name</t>
        </is>
      </c>
      <c r="D1" s="1" t="inlineStr">
        <is>
          <t>ERP_Name</t>
        </is>
      </c>
      <c r="E1" s="1" t="inlineStr">
        <is>
          <t>Gateway</t>
        </is>
      </c>
      <c r="F1" s="1" t="inlineStr">
        <is>
          <t>Payment_Method</t>
        </is>
      </c>
      <c r="G1" s="1" t="inlineStr">
        <is>
          <t>Bank</t>
        </is>
      </c>
      <c r="H1" s="1" t="inlineStr">
        <is>
          <t>Transaction_Amount</t>
        </is>
      </c>
      <c r="I1" s="1" t="inlineStr">
        <is>
          <t>Partner_Pricing_Type</t>
        </is>
      </c>
      <c r="J1" s="1" t="inlineStr">
        <is>
          <t>Partner_Pricing_Value</t>
        </is>
      </c>
      <c r="K1" s="1" t="inlineStr">
        <is>
          <t>Merchant_Pricing_Type</t>
        </is>
      </c>
      <c r="L1" s="1" t="inlineStr">
        <is>
          <t>Merchant_Pricing_Value</t>
        </is>
      </c>
      <c r="M1" s="1" t="inlineStr">
        <is>
          <t>Edviron_Buying_Type</t>
        </is>
      </c>
      <c r="N1" s="1" t="inlineStr">
        <is>
          <t>Edviron_Buying_Value</t>
        </is>
      </c>
      <c r="O1" s="1" t="inlineStr">
        <is>
          <t>Status</t>
        </is>
      </c>
      <c r="P1" s="1" t="inlineStr">
        <is>
          <t>Capture_Status</t>
        </is>
      </c>
    </row>
    <row r="2">
      <c r="A2" t="inlineStr">
        <is>
          <t>ORD0001</t>
        </is>
      </c>
      <c r="B2" t="inlineStr">
        <is>
          <t>15-02-2026</t>
        </is>
      </c>
      <c r="C2" t="inlineStr">
        <is>
          <t>Student_1</t>
        </is>
      </c>
      <c r="D2" t="inlineStr">
        <is>
          <t>ERP_A</t>
        </is>
      </c>
      <c r="E2" t="inlineStr">
        <is>
          <t>PayU</t>
        </is>
      </c>
      <c r="F2" t="inlineStr">
        <is>
          <t>NetBanking</t>
        </is>
      </c>
      <c r="G2" t="inlineStr">
        <is>
          <t>ICICI</t>
        </is>
      </c>
      <c r="H2" t="n">
        <v>15719</v>
      </c>
      <c r="I2" t="inlineStr">
        <is>
          <t>%</t>
        </is>
      </c>
      <c r="J2" t="n">
        <v>1.41</v>
      </c>
      <c r="K2" t="inlineStr">
        <is>
          <t>Flat</t>
        </is>
      </c>
      <c r="L2" t="n">
        <v>121</v>
      </c>
      <c r="M2" t="inlineStr">
        <is>
          <t>%</t>
        </is>
      </c>
      <c r="N2" t="n">
        <v>0.66</v>
      </c>
      <c r="O2" t="inlineStr">
        <is>
          <t>SUCCESS</t>
        </is>
      </c>
      <c r="P2" t="inlineStr">
        <is>
          <t>CAPTURED</t>
        </is>
      </c>
    </row>
    <row r="3">
      <c r="A3" t="inlineStr">
        <is>
          <t>ORD0002</t>
        </is>
      </c>
      <c r="B3" t="inlineStr">
        <is>
          <t>10-02-2026</t>
        </is>
      </c>
      <c r="C3" t="inlineStr">
        <is>
          <t>Student_2</t>
        </is>
      </c>
      <c r="D3" t="inlineStr">
        <is>
          <t>ERP_B</t>
        </is>
      </c>
      <c r="E3" t="inlineStr">
        <is>
          <t>PayU</t>
        </is>
      </c>
      <c r="F3" t="inlineStr">
        <is>
          <t>Card</t>
        </is>
      </c>
      <c r="G3" t="inlineStr">
        <is>
          <t>SBI</t>
        </is>
      </c>
      <c r="H3" t="n">
        <v>4118</v>
      </c>
      <c r="I3" t="inlineStr">
        <is>
          <t>Flat</t>
        </is>
      </c>
      <c r="J3" t="n">
        <v>87</v>
      </c>
      <c r="K3" t="inlineStr">
        <is>
          <t>Flat</t>
        </is>
      </c>
      <c r="L3" t="n">
        <v>85</v>
      </c>
      <c r="M3" t="inlineStr">
        <is>
          <t>Flat</t>
        </is>
      </c>
      <c r="N3" t="n">
        <v>21</v>
      </c>
      <c r="O3" t="inlineStr">
        <is>
          <t>FAILED</t>
        </is>
      </c>
      <c r="P3" t="inlineStr">
        <is>
          <t>NOT_CAPTURED</t>
        </is>
      </c>
    </row>
    <row r="4">
      <c r="A4" t="inlineStr">
        <is>
          <t>ORD0003</t>
        </is>
      </c>
      <c r="B4" t="inlineStr">
        <is>
          <t>13-02-2026</t>
        </is>
      </c>
      <c r="C4" t="inlineStr">
        <is>
          <t>Student_3</t>
        </is>
      </c>
      <c r="D4" t="inlineStr">
        <is>
          <t>ERP_C</t>
        </is>
      </c>
      <c r="E4" t="inlineStr">
        <is>
          <t>Cashfree</t>
        </is>
      </c>
      <c r="F4" t="inlineStr">
        <is>
          <t>UPI</t>
        </is>
      </c>
      <c r="G4" t="inlineStr">
        <is>
          <t>Axis</t>
        </is>
      </c>
      <c r="H4" t="n">
        <v>17530</v>
      </c>
      <c r="I4" t="inlineStr">
        <is>
          <t>%</t>
        </is>
      </c>
      <c r="J4" t="n">
        <v>1.19</v>
      </c>
      <c r="K4" t="inlineStr">
        <is>
          <t>%</t>
        </is>
      </c>
      <c r="L4" t="n">
        <v>1.64</v>
      </c>
      <c r="M4" t="inlineStr">
        <is>
          <t>Flat</t>
        </is>
      </c>
      <c r="N4" t="n">
        <v>57</v>
      </c>
      <c r="O4" t="inlineStr">
        <is>
          <t>SUCCESS</t>
        </is>
      </c>
      <c r="P4" t="inlineStr">
        <is>
          <t>CAPTURED</t>
        </is>
      </c>
    </row>
    <row r="5">
      <c r="A5" t="inlineStr">
        <is>
          <t>ORD0004</t>
        </is>
      </c>
      <c r="B5" t="inlineStr">
        <is>
          <t>14-02-2026</t>
        </is>
      </c>
      <c r="C5" t="inlineStr">
        <is>
          <t>Student_4</t>
        </is>
      </c>
      <c r="D5" t="inlineStr">
        <is>
          <t>ERP_B</t>
        </is>
      </c>
      <c r="E5" t="inlineStr">
        <is>
          <t>Razorpay</t>
        </is>
      </c>
      <c r="F5" t="inlineStr">
        <is>
          <t>Card</t>
        </is>
      </c>
      <c r="G5" t="inlineStr">
        <is>
          <t>SBI</t>
        </is>
      </c>
      <c r="H5" t="n">
        <v>9268</v>
      </c>
      <c r="I5" t="inlineStr">
        <is>
          <t>%</t>
        </is>
      </c>
      <c r="J5" t="n">
        <v>1.11</v>
      </c>
      <c r="K5" t="inlineStr">
        <is>
          <t>%</t>
        </is>
      </c>
      <c r="L5" t="n">
        <v>1.4</v>
      </c>
      <c r="M5" t="inlineStr">
        <is>
          <t>%</t>
        </is>
      </c>
      <c r="N5" t="n">
        <v>0.66</v>
      </c>
      <c r="O5" t="inlineStr">
        <is>
          <t>PENDING</t>
        </is>
      </c>
      <c r="P5" t="inlineStr">
        <is>
          <t>NOT_CAPTURED</t>
        </is>
      </c>
    </row>
    <row r="6">
      <c r="A6" t="inlineStr">
        <is>
          <t>ORD0005</t>
        </is>
      </c>
      <c r="B6" t="inlineStr">
        <is>
          <t>18-02-2026</t>
        </is>
      </c>
      <c r="C6" t="inlineStr">
        <is>
          <t>Student_5</t>
        </is>
      </c>
      <c r="D6" t="inlineStr">
        <is>
          <t>ERP_A</t>
        </is>
      </c>
      <c r="E6" t="inlineStr">
        <is>
          <t>Cashfree</t>
        </is>
      </c>
      <c r="F6" t="inlineStr">
        <is>
          <t>NetBanking</t>
        </is>
      </c>
      <c r="G6" t="inlineStr">
        <is>
          <t>SBI</t>
        </is>
      </c>
      <c r="H6" t="n">
        <v>11901</v>
      </c>
      <c r="I6" t="inlineStr">
        <is>
          <t>Flat</t>
        </is>
      </c>
      <c r="J6" t="n">
        <v>42</v>
      </c>
      <c r="K6" t="inlineStr">
        <is>
          <t>%</t>
        </is>
      </c>
      <c r="L6" t="n">
        <v>1.87</v>
      </c>
      <c r="M6" t="inlineStr">
        <is>
          <t>%</t>
        </is>
      </c>
      <c r="N6" t="n">
        <v>0.52</v>
      </c>
      <c r="O6" t="inlineStr">
        <is>
          <t>PENDING</t>
        </is>
      </c>
      <c r="P6" t="inlineStr">
        <is>
          <t>NOT_CAPTURED</t>
        </is>
      </c>
    </row>
    <row r="7">
      <c r="A7" t="inlineStr">
        <is>
          <t>ORD0006</t>
        </is>
      </c>
      <c r="B7" t="inlineStr">
        <is>
          <t>10-02-2026</t>
        </is>
      </c>
      <c r="C7" t="inlineStr">
        <is>
          <t>Student_6</t>
        </is>
      </c>
      <c r="D7" t="inlineStr">
        <is>
          <t>ERP_A</t>
        </is>
      </c>
      <c r="E7" t="inlineStr">
        <is>
          <t>Cashfree</t>
        </is>
      </c>
      <c r="F7" t="inlineStr">
        <is>
          <t>Card</t>
        </is>
      </c>
      <c r="G7" t="inlineStr">
        <is>
          <t>Axis</t>
        </is>
      </c>
      <c r="H7" t="n">
        <v>12709</v>
      </c>
      <c r="I7" t="inlineStr">
        <is>
          <t>%</t>
        </is>
      </c>
      <c r="J7" t="n">
        <v>1.09</v>
      </c>
      <c r="K7" t="inlineStr">
        <is>
          <t>Flat</t>
        </is>
      </c>
      <c r="L7" t="n">
        <v>243</v>
      </c>
      <c r="M7" t="inlineStr">
        <is>
          <t>%</t>
        </is>
      </c>
      <c r="N7" t="n">
        <v>0.9</v>
      </c>
      <c r="O7" t="inlineStr">
        <is>
          <t>PENDING</t>
        </is>
      </c>
      <c r="P7" t="inlineStr">
        <is>
          <t>NOT_CAPTURED</t>
        </is>
      </c>
    </row>
    <row r="8">
      <c r="A8" t="inlineStr">
        <is>
          <t>ORD0007</t>
        </is>
      </c>
      <c r="B8" t="inlineStr">
        <is>
          <t>04-01-2026</t>
        </is>
      </c>
      <c r="C8" t="inlineStr">
        <is>
          <t>Student_7</t>
        </is>
      </c>
      <c r="D8" t="inlineStr">
        <is>
          <t>ERP_A</t>
        </is>
      </c>
      <c r="E8" t="inlineStr">
        <is>
          <t>PayU</t>
        </is>
      </c>
      <c r="F8" t="inlineStr">
        <is>
          <t>UPI</t>
        </is>
      </c>
      <c r="G8" t="inlineStr">
        <is>
          <t>ICICI</t>
        </is>
      </c>
      <c r="H8" t="n">
        <v>9134</v>
      </c>
      <c r="I8" t="inlineStr">
        <is>
          <t>Flat</t>
        </is>
      </c>
      <c r="J8" t="n">
        <v>43</v>
      </c>
      <c r="K8" t="inlineStr">
        <is>
          <t>Flat</t>
        </is>
      </c>
      <c r="L8" t="n">
        <v>250</v>
      </c>
      <c r="M8" t="inlineStr">
        <is>
          <t>%</t>
        </is>
      </c>
      <c r="N8" t="n">
        <v>0.88</v>
      </c>
      <c r="O8" t="inlineStr">
        <is>
          <t>SUCCESS</t>
        </is>
      </c>
      <c r="P8" t="inlineStr">
        <is>
          <t>CAPTURED</t>
        </is>
      </c>
    </row>
    <row r="9">
      <c r="A9" t="inlineStr">
        <is>
          <t>ORD0008</t>
        </is>
      </c>
      <c r="B9" t="inlineStr">
        <is>
          <t>12-01-2026</t>
        </is>
      </c>
      <c r="C9" t="inlineStr">
        <is>
          <t>Student_8</t>
        </is>
      </c>
      <c r="D9" t="inlineStr">
        <is>
          <t>ERP_B</t>
        </is>
      </c>
      <c r="E9" t="inlineStr">
        <is>
          <t>PayU</t>
        </is>
      </c>
      <c r="F9" t="inlineStr">
        <is>
          <t>UPI</t>
        </is>
      </c>
      <c r="G9" t="inlineStr">
        <is>
          <t>ICICI</t>
        </is>
      </c>
      <c r="H9" t="n">
        <v>18533</v>
      </c>
      <c r="I9" t="inlineStr">
        <is>
          <t>Flat</t>
        </is>
      </c>
      <c r="J9" t="n">
        <v>57</v>
      </c>
      <c r="K9" t="inlineStr">
        <is>
          <t>Flat</t>
        </is>
      </c>
      <c r="L9" t="n">
        <v>80</v>
      </c>
      <c r="M9" t="inlineStr">
        <is>
          <t>Flat</t>
        </is>
      </c>
      <c r="N9" t="n">
        <v>20</v>
      </c>
      <c r="O9" t="inlineStr">
        <is>
          <t>PENDING</t>
        </is>
      </c>
      <c r="P9" t="inlineStr">
        <is>
          <t>NOT_CAPTURED</t>
        </is>
      </c>
    </row>
    <row r="10">
      <c r="A10" t="inlineStr">
        <is>
          <t>ORD0009</t>
        </is>
      </c>
      <c r="B10" t="inlineStr">
        <is>
          <t>23-02-2026</t>
        </is>
      </c>
      <c r="C10" t="inlineStr">
        <is>
          <t>Student_9</t>
        </is>
      </c>
      <c r="D10" t="inlineStr">
        <is>
          <t>ERP_A</t>
        </is>
      </c>
      <c r="E10" t="inlineStr">
        <is>
          <t>PayU</t>
        </is>
      </c>
      <c r="F10" t="inlineStr">
        <is>
          <t>Wallet</t>
        </is>
      </c>
      <c r="G10" t="inlineStr">
        <is>
          <t>Axis</t>
        </is>
      </c>
      <c r="H10" t="n">
        <v>12616</v>
      </c>
      <c r="I10" t="inlineStr">
        <is>
          <t>Flat</t>
        </is>
      </c>
      <c r="J10" t="n">
        <v>34</v>
      </c>
      <c r="K10" t="inlineStr">
        <is>
          <t>%</t>
        </is>
      </c>
      <c r="L10" t="n">
        <v>1.44</v>
      </c>
      <c r="M10" t="inlineStr">
        <is>
          <t>%</t>
        </is>
      </c>
      <c r="N10" t="n">
        <v>0.79</v>
      </c>
      <c r="O10" t="inlineStr">
        <is>
          <t>FAILED</t>
        </is>
      </c>
      <c r="P10" t="inlineStr">
        <is>
          <t>NOT_CAPTURED</t>
        </is>
      </c>
    </row>
    <row r="11">
      <c r="A11" t="inlineStr">
        <is>
          <t>ORD0010</t>
        </is>
      </c>
      <c r="B11" t="inlineStr">
        <is>
          <t>07-01-2026</t>
        </is>
      </c>
      <c r="C11" t="inlineStr">
        <is>
          <t>Student_10</t>
        </is>
      </c>
      <c r="D11" t="inlineStr">
        <is>
          <t>ERP_B</t>
        </is>
      </c>
      <c r="E11" t="inlineStr">
        <is>
          <t>Razorpay</t>
        </is>
      </c>
      <c r="F11" t="inlineStr">
        <is>
          <t>NetBanking</t>
        </is>
      </c>
      <c r="G11" t="inlineStr">
        <is>
          <t>ICICI</t>
        </is>
      </c>
      <c r="H11" t="n">
        <v>7468</v>
      </c>
      <c r="I11" t="inlineStr">
        <is>
          <t>Flat</t>
        </is>
      </c>
      <c r="J11" t="n">
        <v>62</v>
      </c>
      <c r="K11" t="inlineStr">
        <is>
          <t>%</t>
        </is>
      </c>
      <c r="L11" t="n">
        <v>1.5</v>
      </c>
      <c r="M11" t="inlineStr">
        <is>
          <t>Flat</t>
        </is>
      </c>
      <c r="N11" t="n">
        <v>55</v>
      </c>
      <c r="O11" t="inlineStr">
        <is>
          <t>FAILED</t>
        </is>
      </c>
      <c r="P11" t="inlineStr">
        <is>
          <t>NOT_CAPTURED</t>
        </is>
      </c>
    </row>
    <row r="12">
      <c r="A12" t="inlineStr">
        <is>
          <t>ORD0011</t>
        </is>
      </c>
      <c r="B12" t="inlineStr">
        <is>
          <t>31-01-2026</t>
        </is>
      </c>
      <c r="C12" t="inlineStr">
        <is>
          <t>Student_11</t>
        </is>
      </c>
      <c r="D12" t="inlineStr">
        <is>
          <t>ERP_A</t>
        </is>
      </c>
      <c r="E12" t="inlineStr">
        <is>
          <t>PayU</t>
        </is>
      </c>
      <c r="F12" t="inlineStr">
        <is>
          <t>Wallet</t>
        </is>
      </c>
      <c r="G12" t="inlineStr">
        <is>
          <t>ICICI</t>
        </is>
      </c>
      <c r="H12" t="n">
        <v>8478</v>
      </c>
      <c r="I12" t="inlineStr">
        <is>
          <t>%</t>
        </is>
      </c>
      <c r="J12" t="n">
        <v>1.24</v>
      </c>
      <c r="K12" t="inlineStr">
        <is>
          <t>Flat</t>
        </is>
      </c>
      <c r="L12" t="n">
        <v>114</v>
      </c>
      <c r="M12" t="inlineStr">
        <is>
          <t>Flat</t>
        </is>
      </c>
      <c r="N12" t="n">
        <v>16</v>
      </c>
      <c r="O12" t="inlineStr">
        <is>
          <t>PENDING</t>
        </is>
      </c>
      <c r="P12" t="inlineStr">
        <is>
          <t>NOT_CAPTURED</t>
        </is>
      </c>
    </row>
    <row r="13">
      <c r="A13" t="inlineStr">
        <is>
          <t>ORD0012</t>
        </is>
      </c>
      <c r="B13" t="inlineStr">
        <is>
          <t>07-01-2026</t>
        </is>
      </c>
      <c r="C13" t="inlineStr">
        <is>
          <t>Student_12</t>
        </is>
      </c>
      <c r="D13" t="inlineStr">
        <is>
          <t>ERP_A</t>
        </is>
      </c>
      <c r="E13" t="inlineStr">
        <is>
          <t>Cashfree</t>
        </is>
      </c>
      <c r="F13" t="inlineStr">
        <is>
          <t>UPI</t>
        </is>
      </c>
      <c r="G13" t="inlineStr">
        <is>
          <t>HDFC</t>
        </is>
      </c>
      <c r="H13" t="n">
        <v>4941</v>
      </c>
      <c r="I13" t="inlineStr">
        <is>
          <t>%</t>
        </is>
      </c>
      <c r="J13" t="n">
        <v>0.96</v>
      </c>
      <c r="K13" t="inlineStr">
        <is>
          <t>%</t>
        </is>
      </c>
      <c r="L13" t="n">
        <v>1.25</v>
      </c>
      <c r="M13" t="inlineStr">
        <is>
          <t>Flat</t>
        </is>
      </c>
      <c r="N13" t="n">
        <v>56</v>
      </c>
      <c r="O13" t="inlineStr">
        <is>
          <t>PENDING</t>
        </is>
      </c>
      <c r="P13" t="inlineStr">
        <is>
          <t>NOT_CAPTURED</t>
        </is>
      </c>
    </row>
    <row r="14">
      <c r="A14" t="inlineStr">
        <is>
          <t>ORD0013</t>
        </is>
      </c>
      <c r="B14" t="inlineStr">
        <is>
          <t>12-01-2026</t>
        </is>
      </c>
      <c r="C14" t="inlineStr">
        <is>
          <t>Student_13</t>
        </is>
      </c>
      <c r="D14" t="inlineStr">
        <is>
          <t>ERP_B</t>
        </is>
      </c>
      <c r="E14" t="inlineStr">
        <is>
          <t>Razorpay</t>
        </is>
      </c>
      <c r="F14" t="inlineStr">
        <is>
          <t>NetBanking</t>
        </is>
      </c>
      <c r="G14" t="inlineStr">
        <is>
          <t>SBI</t>
        </is>
      </c>
      <c r="H14" t="n">
        <v>3072</v>
      </c>
      <c r="I14" t="inlineStr">
        <is>
          <t>Flat</t>
        </is>
      </c>
      <c r="J14" t="n">
        <v>38</v>
      </c>
      <c r="K14" t="inlineStr">
        <is>
          <t>Flat</t>
        </is>
      </c>
      <c r="L14" t="n">
        <v>203</v>
      </c>
      <c r="M14" t="inlineStr">
        <is>
          <t>Flat</t>
        </is>
      </c>
      <c r="N14" t="n">
        <v>10</v>
      </c>
      <c r="O14" t="inlineStr">
        <is>
          <t>PENDING</t>
        </is>
      </c>
      <c r="P14" t="inlineStr">
        <is>
          <t>NOT_CAPTURED</t>
        </is>
      </c>
    </row>
    <row r="15">
      <c r="A15" t="inlineStr">
        <is>
          <t>ORD0014</t>
        </is>
      </c>
      <c r="B15" t="inlineStr">
        <is>
          <t>19-02-2026</t>
        </is>
      </c>
      <c r="C15" t="inlineStr">
        <is>
          <t>Student_14</t>
        </is>
      </c>
      <c r="D15" t="inlineStr">
        <is>
          <t>ERP_B</t>
        </is>
      </c>
      <c r="E15" t="inlineStr">
        <is>
          <t>Razorpay</t>
        </is>
      </c>
      <c r="F15" t="inlineStr">
        <is>
          <t>UPI</t>
        </is>
      </c>
      <c r="G15" t="inlineStr">
        <is>
          <t>Axis</t>
        </is>
      </c>
      <c r="H15" t="n">
        <v>16693</v>
      </c>
      <c r="I15" t="inlineStr">
        <is>
          <t>Flat</t>
        </is>
      </c>
      <c r="J15" t="n">
        <v>38</v>
      </c>
      <c r="K15" t="inlineStr">
        <is>
          <t>%</t>
        </is>
      </c>
      <c r="L15" t="n">
        <v>1.48</v>
      </c>
      <c r="M15" t="inlineStr">
        <is>
          <t>%</t>
        </is>
      </c>
      <c r="N15" t="n">
        <v>1</v>
      </c>
      <c r="O15" t="inlineStr">
        <is>
          <t>SUCCESS</t>
        </is>
      </c>
      <c r="P15" t="inlineStr">
        <is>
          <t>CAPTURED</t>
        </is>
      </c>
    </row>
    <row r="16">
      <c r="A16" t="inlineStr">
        <is>
          <t>ORD0015</t>
        </is>
      </c>
      <c r="B16" t="inlineStr">
        <is>
          <t>19-02-2026</t>
        </is>
      </c>
      <c r="C16" t="inlineStr">
        <is>
          <t>Student_15</t>
        </is>
      </c>
      <c r="D16" t="inlineStr">
        <is>
          <t>ERP_C</t>
        </is>
      </c>
      <c r="E16" t="inlineStr">
        <is>
          <t>Cashfree</t>
        </is>
      </c>
      <c r="F16" t="inlineStr">
        <is>
          <t>Wallet</t>
        </is>
      </c>
      <c r="G16" t="inlineStr">
        <is>
          <t>SBI</t>
        </is>
      </c>
      <c r="H16" t="n">
        <v>18837</v>
      </c>
      <c r="I16" t="inlineStr">
        <is>
          <t>%</t>
        </is>
      </c>
      <c r="J16" t="n">
        <v>1.3</v>
      </c>
      <c r="K16" t="inlineStr">
        <is>
          <t>Flat</t>
        </is>
      </c>
      <c r="L16" t="n">
        <v>250</v>
      </c>
      <c r="M16" t="inlineStr">
        <is>
          <t>Flat</t>
        </is>
      </c>
      <c r="N16" t="n">
        <v>54</v>
      </c>
      <c r="O16" t="inlineStr">
        <is>
          <t>PENDING</t>
        </is>
      </c>
      <c r="P16" t="inlineStr">
        <is>
          <t>NOT_CAPTURED</t>
        </is>
      </c>
    </row>
    <row r="17">
      <c r="A17" t="inlineStr">
        <is>
          <t>ORD0016</t>
        </is>
      </c>
      <c r="B17" t="inlineStr">
        <is>
          <t>10-01-2026</t>
        </is>
      </c>
      <c r="C17" t="inlineStr">
        <is>
          <t>Student_16</t>
        </is>
      </c>
      <c r="D17" t="inlineStr">
        <is>
          <t>ERP_A</t>
        </is>
      </c>
      <c r="E17" t="inlineStr">
        <is>
          <t>Cashfree</t>
        </is>
      </c>
      <c r="F17" t="inlineStr">
        <is>
          <t>Wallet</t>
        </is>
      </c>
      <c r="G17" t="inlineStr">
        <is>
          <t>SBI</t>
        </is>
      </c>
      <c r="H17" t="n">
        <v>1232</v>
      </c>
      <c r="I17" t="inlineStr">
        <is>
          <t>Flat</t>
        </is>
      </c>
      <c r="J17" t="n">
        <v>46</v>
      </c>
      <c r="K17" t="inlineStr">
        <is>
          <t>%</t>
        </is>
      </c>
      <c r="L17" t="n">
        <v>1.45</v>
      </c>
      <c r="M17" t="inlineStr">
        <is>
          <t>Flat</t>
        </is>
      </c>
      <c r="N17" t="n">
        <v>61</v>
      </c>
      <c r="O17" t="inlineStr">
        <is>
          <t>FAILED</t>
        </is>
      </c>
      <c r="P17" t="inlineStr">
        <is>
          <t>NOT_CAPTURED</t>
        </is>
      </c>
    </row>
    <row r="18">
      <c r="A18" t="inlineStr">
        <is>
          <t>ORD0017</t>
        </is>
      </c>
      <c r="B18" t="inlineStr">
        <is>
          <t>13-01-2026</t>
        </is>
      </c>
      <c r="C18" t="inlineStr">
        <is>
          <t>Student_17</t>
        </is>
      </c>
      <c r="D18" t="inlineStr">
        <is>
          <t>ERP_C</t>
        </is>
      </c>
      <c r="E18" t="inlineStr">
        <is>
          <t>Cashfree</t>
        </is>
      </c>
      <c r="F18" t="inlineStr">
        <is>
          <t>Wallet</t>
        </is>
      </c>
      <c r="G18" t="inlineStr">
        <is>
          <t>HDFC</t>
        </is>
      </c>
      <c r="H18" t="n">
        <v>13773</v>
      </c>
      <c r="I18" t="inlineStr">
        <is>
          <t>Flat</t>
        </is>
      </c>
      <c r="J18" t="n">
        <v>75</v>
      </c>
      <c r="K18" t="inlineStr">
        <is>
          <t>Flat</t>
        </is>
      </c>
      <c r="L18" t="n">
        <v>231</v>
      </c>
      <c r="M18" t="inlineStr">
        <is>
          <t>%</t>
        </is>
      </c>
      <c r="N18" t="n">
        <v>0.8100000000000001</v>
      </c>
      <c r="O18" t="inlineStr">
        <is>
          <t>SUCCESS</t>
        </is>
      </c>
      <c r="P18" t="inlineStr">
        <is>
          <t>CAPTURED</t>
        </is>
      </c>
    </row>
    <row r="19">
      <c r="A19" t="inlineStr">
        <is>
          <t>ORD0018</t>
        </is>
      </c>
      <c r="B19" t="inlineStr">
        <is>
          <t>09-01-2026</t>
        </is>
      </c>
      <c r="C19" t="inlineStr">
        <is>
          <t>Student_18</t>
        </is>
      </c>
      <c r="D19" t="inlineStr">
        <is>
          <t>ERP_C</t>
        </is>
      </c>
      <c r="E19" t="inlineStr">
        <is>
          <t>Cashfree</t>
        </is>
      </c>
      <c r="F19" t="inlineStr">
        <is>
          <t>Card</t>
        </is>
      </c>
      <c r="G19" t="inlineStr">
        <is>
          <t>HDFC</t>
        </is>
      </c>
      <c r="H19" t="n">
        <v>1277</v>
      </c>
      <c r="I19" t="inlineStr">
        <is>
          <t>%</t>
        </is>
      </c>
      <c r="J19" t="n">
        <v>1.45</v>
      </c>
      <c r="K19" t="inlineStr">
        <is>
          <t>Flat</t>
        </is>
      </c>
      <c r="L19" t="n">
        <v>55</v>
      </c>
      <c r="M19" t="inlineStr">
        <is>
          <t>Flat</t>
        </is>
      </c>
      <c r="N19" t="n">
        <v>61</v>
      </c>
      <c r="O19" t="inlineStr">
        <is>
          <t>SUCCESS</t>
        </is>
      </c>
      <c r="P19" t="inlineStr">
        <is>
          <t>CAPTURED</t>
        </is>
      </c>
    </row>
    <row r="20">
      <c r="A20" t="inlineStr">
        <is>
          <t>ORD0019</t>
        </is>
      </c>
      <c r="B20" t="inlineStr">
        <is>
          <t>03-01-2026</t>
        </is>
      </c>
      <c r="C20" t="inlineStr">
        <is>
          <t>Student_19</t>
        </is>
      </c>
      <c r="D20" t="inlineStr">
        <is>
          <t>ERP_B</t>
        </is>
      </c>
      <c r="E20" t="inlineStr">
        <is>
          <t>PayU</t>
        </is>
      </c>
      <c r="F20" t="inlineStr">
        <is>
          <t>Card</t>
        </is>
      </c>
      <c r="G20" t="inlineStr">
        <is>
          <t>Axis</t>
        </is>
      </c>
      <c r="H20" t="n">
        <v>4157</v>
      </c>
      <c r="I20" t="inlineStr">
        <is>
          <t>Flat</t>
        </is>
      </c>
      <c r="J20" t="n">
        <v>78</v>
      </c>
      <c r="K20" t="inlineStr">
        <is>
          <t>%</t>
        </is>
      </c>
      <c r="L20" t="n">
        <v>1.72</v>
      </c>
      <c r="M20" t="inlineStr">
        <is>
          <t>Flat</t>
        </is>
      </c>
      <c r="N20" t="n">
        <v>42</v>
      </c>
      <c r="O20" t="inlineStr">
        <is>
          <t>SUCCESS</t>
        </is>
      </c>
      <c r="P20" t="inlineStr">
        <is>
          <t>CAPTURED</t>
        </is>
      </c>
    </row>
    <row r="21">
      <c r="A21" t="inlineStr">
        <is>
          <t>ORD0020</t>
        </is>
      </c>
      <c r="B21" t="inlineStr">
        <is>
          <t>15-02-2026</t>
        </is>
      </c>
      <c r="C21" t="inlineStr">
        <is>
          <t>Student_20</t>
        </is>
      </c>
      <c r="D21" t="inlineStr">
        <is>
          <t>ERP_B</t>
        </is>
      </c>
      <c r="E21" t="inlineStr">
        <is>
          <t>Razorpay</t>
        </is>
      </c>
      <c r="F21" t="inlineStr">
        <is>
          <t>Wallet</t>
        </is>
      </c>
      <c r="G21" t="inlineStr">
        <is>
          <t>Axis</t>
        </is>
      </c>
      <c r="H21" t="n">
        <v>10146</v>
      </c>
      <c r="I21" t="inlineStr">
        <is>
          <t>%</t>
        </is>
      </c>
      <c r="J21" t="n">
        <v>1.36</v>
      </c>
      <c r="K21" t="inlineStr">
        <is>
          <t>%</t>
        </is>
      </c>
      <c r="L21" t="n">
        <v>1.85</v>
      </c>
      <c r="M21" t="inlineStr">
        <is>
          <t>Flat</t>
        </is>
      </c>
      <c r="N21" t="n">
        <v>33</v>
      </c>
      <c r="O21" t="inlineStr">
        <is>
          <t>PENDING</t>
        </is>
      </c>
      <c r="P21" t="inlineStr">
        <is>
          <t>NOT_CAPTURED</t>
        </is>
      </c>
    </row>
    <row r="22">
      <c r="A22" t="inlineStr">
        <is>
          <t>ORD0021</t>
        </is>
      </c>
      <c r="B22" t="inlineStr">
        <is>
          <t>18-02-2026</t>
        </is>
      </c>
      <c r="C22" t="inlineStr">
        <is>
          <t>Student_21</t>
        </is>
      </c>
      <c r="D22" t="inlineStr">
        <is>
          <t>ERP_B</t>
        </is>
      </c>
      <c r="E22" t="inlineStr">
        <is>
          <t>Cashfree</t>
        </is>
      </c>
      <c r="F22" t="inlineStr">
        <is>
          <t>Wallet</t>
        </is>
      </c>
      <c r="G22" t="inlineStr">
        <is>
          <t>Axis</t>
        </is>
      </c>
      <c r="H22" t="n">
        <v>9080</v>
      </c>
      <c r="I22" t="inlineStr">
        <is>
          <t>Flat</t>
        </is>
      </c>
      <c r="J22" t="n">
        <v>55</v>
      </c>
      <c r="K22" t="inlineStr">
        <is>
          <t>%</t>
        </is>
      </c>
      <c r="L22" t="n">
        <v>1.26</v>
      </c>
      <c r="M22" t="inlineStr">
        <is>
          <t>%</t>
        </is>
      </c>
      <c r="N22" t="n">
        <v>0.99</v>
      </c>
      <c r="O22" t="inlineStr">
        <is>
          <t>FAILED</t>
        </is>
      </c>
      <c r="P22" t="inlineStr">
        <is>
          <t>NOT_CAPTURED</t>
        </is>
      </c>
    </row>
    <row r="23">
      <c r="A23" t="inlineStr">
        <is>
          <t>ORD0022</t>
        </is>
      </c>
      <c r="B23" t="inlineStr">
        <is>
          <t>01-03-2026</t>
        </is>
      </c>
      <c r="C23" t="inlineStr">
        <is>
          <t>Student_22</t>
        </is>
      </c>
      <c r="D23" t="inlineStr">
        <is>
          <t>ERP_C</t>
        </is>
      </c>
      <c r="E23" t="inlineStr">
        <is>
          <t>Cashfree</t>
        </is>
      </c>
      <c r="F23" t="inlineStr">
        <is>
          <t>Wallet</t>
        </is>
      </c>
      <c r="G23" t="inlineStr">
        <is>
          <t>SBI</t>
        </is>
      </c>
      <c r="H23" t="n">
        <v>4870</v>
      </c>
      <c r="I23" t="inlineStr">
        <is>
          <t>%</t>
        </is>
      </c>
      <c r="J23" t="n">
        <v>1.14</v>
      </c>
      <c r="K23" t="inlineStr">
        <is>
          <t>Flat</t>
        </is>
      </c>
      <c r="L23" t="n">
        <v>96</v>
      </c>
      <c r="M23" t="inlineStr">
        <is>
          <t>Flat</t>
        </is>
      </c>
      <c r="N23" t="n">
        <v>13</v>
      </c>
      <c r="O23" t="inlineStr">
        <is>
          <t>SUCCESS</t>
        </is>
      </c>
      <c r="P23" t="inlineStr">
        <is>
          <t>CAPTURED</t>
        </is>
      </c>
    </row>
    <row r="24">
      <c r="A24" t="inlineStr">
        <is>
          <t>ORD0023</t>
        </is>
      </c>
      <c r="B24" t="inlineStr">
        <is>
          <t>01-02-2026</t>
        </is>
      </c>
      <c r="C24" t="inlineStr">
        <is>
          <t>Student_23</t>
        </is>
      </c>
      <c r="D24" t="inlineStr">
        <is>
          <t>ERP_C</t>
        </is>
      </c>
      <c r="E24" t="inlineStr">
        <is>
          <t>Cashfree</t>
        </is>
      </c>
      <c r="F24" t="inlineStr">
        <is>
          <t>Card</t>
        </is>
      </c>
      <c r="G24" t="inlineStr">
        <is>
          <t>Axis</t>
        </is>
      </c>
      <c r="H24" t="n">
        <v>16019</v>
      </c>
      <c r="I24" t="inlineStr">
        <is>
          <t>Flat</t>
        </is>
      </c>
      <c r="J24" t="n">
        <v>66</v>
      </c>
      <c r="K24" t="inlineStr">
        <is>
          <t>%</t>
        </is>
      </c>
      <c r="L24" t="n">
        <v>1.56</v>
      </c>
      <c r="M24" t="inlineStr">
        <is>
          <t>%</t>
        </is>
      </c>
      <c r="N24" t="n">
        <v>0.61</v>
      </c>
      <c r="O24" t="inlineStr">
        <is>
          <t>SUCCESS</t>
        </is>
      </c>
      <c r="P24" t="inlineStr">
        <is>
          <t>CAPTURED</t>
        </is>
      </c>
    </row>
    <row r="25">
      <c r="A25" t="inlineStr">
        <is>
          <t>ORD0024</t>
        </is>
      </c>
      <c r="B25" t="inlineStr">
        <is>
          <t>30-01-2026</t>
        </is>
      </c>
      <c r="C25" t="inlineStr">
        <is>
          <t>Student_24</t>
        </is>
      </c>
      <c r="D25" t="inlineStr">
        <is>
          <t>ERP_C</t>
        </is>
      </c>
      <c r="E25" t="inlineStr">
        <is>
          <t>Razorpay</t>
        </is>
      </c>
      <c r="F25" t="inlineStr">
        <is>
          <t>Card</t>
        </is>
      </c>
      <c r="G25" t="inlineStr">
        <is>
          <t>SBI</t>
        </is>
      </c>
      <c r="H25" t="n">
        <v>4536</v>
      </c>
      <c r="I25" t="inlineStr">
        <is>
          <t>Flat</t>
        </is>
      </c>
      <c r="J25" t="n">
        <v>36</v>
      </c>
      <c r="K25" t="inlineStr">
        <is>
          <t>Flat</t>
        </is>
      </c>
      <c r="L25" t="n">
        <v>224</v>
      </c>
      <c r="M25" t="inlineStr">
        <is>
          <t>%</t>
        </is>
      </c>
      <c r="N25" t="n">
        <v>0.99</v>
      </c>
      <c r="O25" t="inlineStr">
        <is>
          <t>FAILED</t>
        </is>
      </c>
      <c r="P25" t="inlineStr">
        <is>
          <t>NOT_CAPTURED</t>
        </is>
      </c>
    </row>
    <row r="26">
      <c r="A26" t="inlineStr">
        <is>
          <t>ORD0025</t>
        </is>
      </c>
      <c r="B26" t="inlineStr">
        <is>
          <t>19-02-2026</t>
        </is>
      </c>
      <c r="C26" t="inlineStr">
        <is>
          <t>Student_25</t>
        </is>
      </c>
      <c r="D26" t="inlineStr">
        <is>
          <t>ERP_A</t>
        </is>
      </c>
      <c r="E26" t="inlineStr">
        <is>
          <t>Razorpay</t>
        </is>
      </c>
      <c r="F26" t="inlineStr">
        <is>
          <t>Card</t>
        </is>
      </c>
      <c r="G26" t="inlineStr">
        <is>
          <t>SBI</t>
        </is>
      </c>
      <c r="H26" t="n">
        <v>16002</v>
      </c>
      <c r="I26" t="inlineStr">
        <is>
          <t>Flat</t>
        </is>
      </c>
      <c r="J26" t="n">
        <v>72</v>
      </c>
      <c r="K26" t="inlineStr">
        <is>
          <t>Flat</t>
        </is>
      </c>
      <c r="L26" t="n">
        <v>180</v>
      </c>
      <c r="M26" t="inlineStr">
        <is>
          <t>Flat</t>
        </is>
      </c>
      <c r="N26" t="n">
        <v>71</v>
      </c>
      <c r="O26" t="inlineStr">
        <is>
          <t>SUCCESS</t>
        </is>
      </c>
      <c r="P26" t="inlineStr">
        <is>
          <t>CAPTURED</t>
        </is>
      </c>
    </row>
    <row r="27">
      <c r="A27" t="inlineStr">
        <is>
          <t>ORD0026</t>
        </is>
      </c>
      <c r="B27" t="inlineStr">
        <is>
          <t>26-02-2026</t>
        </is>
      </c>
      <c r="C27" t="inlineStr">
        <is>
          <t>Student_26</t>
        </is>
      </c>
      <c r="D27" t="inlineStr">
        <is>
          <t>ERP_B</t>
        </is>
      </c>
      <c r="E27" t="inlineStr">
        <is>
          <t>PayU</t>
        </is>
      </c>
      <c r="F27" t="inlineStr">
        <is>
          <t>NetBanking</t>
        </is>
      </c>
      <c r="G27" t="inlineStr">
        <is>
          <t>Axis</t>
        </is>
      </c>
      <c r="H27" t="n">
        <v>17101</v>
      </c>
      <c r="I27" t="inlineStr">
        <is>
          <t>%</t>
        </is>
      </c>
      <c r="J27" t="n">
        <v>1.14</v>
      </c>
      <c r="K27" t="inlineStr">
        <is>
          <t>%</t>
        </is>
      </c>
      <c r="L27" t="n">
        <v>2</v>
      </c>
      <c r="M27" t="inlineStr">
        <is>
          <t>Flat</t>
        </is>
      </c>
      <c r="N27" t="n">
        <v>49</v>
      </c>
      <c r="O27" t="inlineStr">
        <is>
          <t>FAILED</t>
        </is>
      </c>
      <c r="P27" t="inlineStr">
        <is>
          <t>NOT_CAPTURED</t>
        </is>
      </c>
    </row>
    <row r="28">
      <c r="A28" t="inlineStr">
        <is>
          <t>ORD0027</t>
        </is>
      </c>
      <c r="B28" t="inlineStr">
        <is>
          <t>28-02-2026</t>
        </is>
      </c>
      <c r="C28" t="inlineStr">
        <is>
          <t>Student_27</t>
        </is>
      </c>
      <c r="D28" t="inlineStr">
        <is>
          <t>ERP_B</t>
        </is>
      </c>
      <c r="E28" t="inlineStr">
        <is>
          <t>Razorpay</t>
        </is>
      </c>
      <c r="F28" t="inlineStr">
        <is>
          <t>Card</t>
        </is>
      </c>
      <c r="G28" t="inlineStr">
        <is>
          <t>HDFC</t>
        </is>
      </c>
      <c r="H28" t="n">
        <v>13703</v>
      </c>
      <c r="I28" t="inlineStr">
        <is>
          <t>Flat</t>
        </is>
      </c>
      <c r="J28" t="n">
        <v>98</v>
      </c>
      <c r="K28" t="inlineStr">
        <is>
          <t>%</t>
        </is>
      </c>
      <c r="L28" t="n">
        <v>1.87</v>
      </c>
      <c r="M28" t="inlineStr">
        <is>
          <t>Flat</t>
        </is>
      </c>
      <c r="N28" t="n">
        <v>73</v>
      </c>
      <c r="O28" t="inlineStr">
        <is>
          <t>PENDING</t>
        </is>
      </c>
      <c r="P28" t="inlineStr">
        <is>
          <t>NOT_CAPTURED</t>
        </is>
      </c>
    </row>
    <row r="29">
      <c r="A29" t="inlineStr">
        <is>
          <t>ORD0028</t>
        </is>
      </c>
      <c r="B29" t="inlineStr">
        <is>
          <t>30-01-2026</t>
        </is>
      </c>
      <c r="C29" t="inlineStr">
        <is>
          <t>Student_28</t>
        </is>
      </c>
      <c r="D29" t="inlineStr">
        <is>
          <t>ERP_B</t>
        </is>
      </c>
      <c r="E29" t="inlineStr">
        <is>
          <t>Razorpay</t>
        </is>
      </c>
      <c r="F29" t="inlineStr">
        <is>
          <t>UPI</t>
        </is>
      </c>
      <c r="G29" t="inlineStr">
        <is>
          <t>ICICI</t>
        </is>
      </c>
      <c r="H29" t="n">
        <v>15292</v>
      </c>
      <c r="I29" t="inlineStr">
        <is>
          <t>Flat</t>
        </is>
      </c>
      <c r="J29" t="n">
        <v>33</v>
      </c>
      <c r="K29" t="inlineStr">
        <is>
          <t>Flat</t>
        </is>
      </c>
      <c r="L29" t="n">
        <v>132</v>
      </c>
      <c r="M29" t="inlineStr">
        <is>
          <t>Flat</t>
        </is>
      </c>
      <c r="N29" t="n">
        <v>20</v>
      </c>
      <c r="O29" t="inlineStr">
        <is>
          <t>PENDING</t>
        </is>
      </c>
      <c r="P29" t="inlineStr">
        <is>
          <t>NOT_CAPTURED</t>
        </is>
      </c>
    </row>
    <row r="30">
      <c r="A30" t="inlineStr">
        <is>
          <t>ORD0029</t>
        </is>
      </c>
      <c r="B30" t="inlineStr">
        <is>
          <t>09-02-2026</t>
        </is>
      </c>
      <c r="C30" t="inlineStr">
        <is>
          <t>Student_29</t>
        </is>
      </c>
      <c r="D30" t="inlineStr">
        <is>
          <t>ERP_C</t>
        </is>
      </c>
      <c r="E30" t="inlineStr">
        <is>
          <t>Razorpay</t>
        </is>
      </c>
      <c r="F30" t="inlineStr">
        <is>
          <t>Wallet</t>
        </is>
      </c>
      <c r="G30" t="inlineStr">
        <is>
          <t>HDFC</t>
        </is>
      </c>
      <c r="H30" t="n">
        <v>14916</v>
      </c>
      <c r="I30" t="inlineStr">
        <is>
          <t>Flat</t>
        </is>
      </c>
      <c r="J30" t="n">
        <v>80</v>
      </c>
      <c r="K30" t="inlineStr">
        <is>
          <t>%</t>
        </is>
      </c>
      <c r="L30" t="n">
        <v>1.59</v>
      </c>
      <c r="M30" t="inlineStr">
        <is>
          <t>Flat</t>
        </is>
      </c>
      <c r="N30" t="n">
        <v>60</v>
      </c>
      <c r="O30" t="inlineStr">
        <is>
          <t>SUCCESS</t>
        </is>
      </c>
      <c r="P30" t="inlineStr">
        <is>
          <t>CAPTURED</t>
        </is>
      </c>
    </row>
    <row r="31">
      <c r="A31" t="inlineStr">
        <is>
          <t>ORD0030</t>
        </is>
      </c>
      <c r="B31" t="inlineStr">
        <is>
          <t>12-02-2026</t>
        </is>
      </c>
      <c r="C31" t="inlineStr">
        <is>
          <t>Student_30</t>
        </is>
      </c>
      <c r="D31" t="inlineStr">
        <is>
          <t>ERP_A</t>
        </is>
      </c>
      <c r="E31" t="inlineStr">
        <is>
          <t>Cashfree</t>
        </is>
      </c>
      <c r="F31" t="inlineStr">
        <is>
          <t>Wallet</t>
        </is>
      </c>
      <c r="G31" t="inlineStr">
        <is>
          <t>Axis</t>
        </is>
      </c>
      <c r="H31" t="n">
        <v>5611</v>
      </c>
      <c r="I31" t="inlineStr">
        <is>
          <t>Flat</t>
        </is>
      </c>
      <c r="J31" t="n">
        <v>66</v>
      </c>
      <c r="K31" t="inlineStr">
        <is>
          <t>Flat</t>
        </is>
      </c>
      <c r="L31" t="n">
        <v>81</v>
      </c>
      <c r="M31" t="inlineStr">
        <is>
          <t>%</t>
        </is>
      </c>
      <c r="N31" t="n">
        <v>0.8</v>
      </c>
      <c r="O31" t="inlineStr">
        <is>
          <t>PENDING</t>
        </is>
      </c>
      <c r="P31" t="inlineStr">
        <is>
          <t>NOT_CAPTURED</t>
        </is>
      </c>
    </row>
    <row r="32">
      <c r="A32" t="inlineStr">
        <is>
          <t>ORD0031</t>
        </is>
      </c>
      <c r="B32" t="inlineStr">
        <is>
          <t>26-01-2026</t>
        </is>
      </c>
      <c r="C32" t="inlineStr">
        <is>
          <t>Student_31</t>
        </is>
      </c>
      <c r="D32" t="inlineStr">
        <is>
          <t>ERP_B</t>
        </is>
      </c>
      <c r="E32" t="inlineStr">
        <is>
          <t>Razorpay</t>
        </is>
      </c>
      <c r="F32" t="inlineStr">
        <is>
          <t>Card</t>
        </is>
      </c>
      <c r="G32" t="inlineStr">
        <is>
          <t>Axis</t>
        </is>
      </c>
      <c r="H32" t="n">
        <v>10092</v>
      </c>
      <c r="I32" t="inlineStr">
        <is>
          <t>%</t>
        </is>
      </c>
      <c r="J32" t="n">
        <v>1.49</v>
      </c>
      <c r="K32" t="inlineStr">
        <is>
          <t>%</t>
        </is>
      </c>
      <c r="L32" t="n">
        <v>1.6</v>
      </c>
      <c r="M32" t="inlineStr">
        <is>
          <t>Flat</t>
        </is>
      </c>
      <c r="N32" t="n">
        <v>68</v>
      </c>
      <c r="O32" t="inlineStr">
        <is>
          <t>SUCCESS</t>
        </is>
      </c>
      <c r="P32" t="inlineStr">
        <is>
          <t>CAPTURED</t>
        </is>
      </c>
    </row>
    <row r="33">
      <c r="A33" t="inlineStr">
        <is>
          <t>ORD0032</t>
        </is>
      </c>
      <c r="B33" t="inlineStr">
        <is>
          <t>19-02-2026</t>
        </is>
      </c>
      <c r="C33" t="inlineStr">
        <is>
          <t>Student_32</t>
        </is>
      </c>
      <c r="D33" t="inlineStr">
        <is>
          <t>ERP_C</t>
        </is>
      </c>
      <c r="E33" t="inlineStr">
        <is>
          <t>Razorpay</t>
        </is>
      </c>
      <c r="F33" t="inlineStr">
        <is>
          <t>UPI</t>
        </is>
      </c>
      <c r="G33" t="inlineStr">
        <is>
          <t>HDFC</t>
        </is>
      </c>
      <c r="H33" t="n">
        <v>16105</v>
      </c>
      <c r="I33" t="inlineStr">
        <is>
          <t>%</t>
        </is>
      </c>
      <c r="J33" t="n">
        <v>0.9399999999999999</v>
      </c>
      <c r="K33" t="inlineStr">
        <is>
          <t>Flat</t>
        </is>
      </c>
      <c r="L33" t="n">
        <v>136</v>
      </c>
      <c r="M33" t="inlineStr">
        <is>
          <t>%</t>
        </is>
      </c>
      <c r="N33" t="n">
        <v>0.9</v>
      </c>
      <c r="O33" t="inlineStr">
        <is>
          <t>FAILED</t>
        </is>
      </c>
      <c r="P33" t="inlineStr">
        <is>
          <t>NOT_CAPTURED</t>
        </is>
      </c>
    </row>
    <row r="34">
      <c r="A34" t="inlineStr">
        <is>
          <t>ORD0033</t>
        </is>
      </c>
      <c r="B34" t="inlineStr">
        <is>
          <t>23-02-2026</t>
        </is>
      </c>
      <c r="C34" t="inlineStr">
        <is>
          <t>Student_33</t>
        </is>
      </c>
      <c r="D34" t="inlineStr">
        <is>
          <t>ERP_A</t>
        </is>
      </c>
      <c r="E34" t="inlineStr">
        <is>
          <t>Cashfree</t>
        </is>
      </c>
      <c r="F34" t="inlineStr">
        <is>
          <t>Card</t>
        </is>
      </c>
      <c r="G34" t="inlineStr">
        <is>
          <t>SBI</t>
        </is>
      </c>
      <c r="H34" t="n">
        <v>7219</v>
      </c>
      <c r="I34" t="inlineStr">
        <is>
          <t>Flat</t>
        </is>
      </c>
      <c r="J34" t="n">
        <v>84</v>
      </c>
      <c r="K34" t="inlineStr">
        <is>
          <t>%</t>
        </is>
      </c>
      <c r="L34" t="n">
        <v>1.83</v>
      </c>
      <c r="M34" t="inlineStr">
        <is>
          <t>%</t>
        </is>
      </c>
      <c r="N34" t="n">
        <v>0.96</v>
      </c>
      <c r="O34" t="inlineStr">
        <is>
          <t>SUCCESS</t>
        </is>
      </c>
      <c r="P34" t="inlineStr">
        <is>
          <t>CAPTURED</t>
        </is>
      </c>
    </row>
    <row r="35">
      <c r="A35" t="inlineStr">
        <is>
          <t>ORD0034</t>
        </is>
      </c>
      <c r="B35" t="inlineStr">
        <is>
          <t>10-02-2026</t>
        </is>
      </c>
      <c r="C35" t="inlineStr">
        <is>
          <t>Student_34</t>
        </is>
      </c>
      <c r="D35" t="inlineStr">
        <is>
          <t>ERP_B</t>
        </is>
      </c>
      <c r="E35" t="inlineStr">
        <is>
          <t>PayU</t>
        </is>
      </c>
      <c r="F35" t="inlineStr">
        <is>
          <t>Wallet</t>
        </is>
      </c>
      <c r="G35" t="inlineStr">
        <is>
          <t>Axis</t>
        </is>
      </c>
      <c r="H35" t="n">
        <v>13331</v>
      </c>
      <c r="I35" t="inlineStr">
        <is>
          <t>Flat</t>
        </is>
      </c>
      <c r="J35" t="n">
        <v>94</v>
      </c>
      <c r="K35" t="inlineStr">
        <is>
          <t>Flat</t>
        </is>
      </c>
      <c r="L35" t="n">
        <v>56</v>
      </c>
      <c r="M35" t="inlineStr">
        <is>
          <t>Flat</t>
        </is>
      </c>
      <c r="N35" t="n">
        <v>75</v>
      </c>
      <c r="O35" t="inlineStr">
        <is>
          <t>PENDING</t>
        </is>
      </c>
      <c r="P35" t="inlineStr">
        <is>
          <t>NOT_CAPTURED</t>
        </is>
      </c>
    </row>
    <row r="36">
      <c r="A36" t="inlineStr">
        <is>
          <t>ORD0035</t>
        </is>
      </c>
      <c r="B36" t="inlineStr">
        <is>
          <t>01-02-2026</t>
        </is>
      </c>
      <c r="C36" t="inlineStr">
        <is>
          <t>Student_35</t>
        </is>
      </c>
      <c r="D36" t="inlineStr">
        <is>
          <t>ERP_B</t>
        </is>
      </c>
      <c r="E36" t="inlineStr">
        <is>
          <t>Razorpay</t>
        </is>
      </c>
      <c r="F36" t="inlineStr">
        <is>
          <t>Wallet</t>
        </is>
      </c>
      <c r="G36" t="inlineStr">
        <is>
          <t>ICICI</t>
        </is>
      </c>
      <c r="H36" t="n">
        <v>19264</v>
      </c>
      <c r="I36" t="inlineStr">
        <is>
          <t>%</t>
        </is>
      </c>
      <c r="J36" t="n">
        <v>1.24</v>
      </c>
      <c r="K36" t="inlineStr">
        <is>
          <t>Flat</t>
        </is>
      </c>
      <c r="L36" t="n">
        <v>164</v>
      </c>
      <c r="M36" t="inlineStr">
        <is>
          <t>%</t>
        </is>
      </c>
      <c r="N36" t="n">
        <v>0.91</v>
      </c>
      <c r="O36" t="inlineStr">
        <is>
          <t>PENDING</t>
        </is>
      </c>
      <c r="P36" t="inlineStr">
        <is>
          <t>NOT_CAPTURED</t>
        </is>
      </c>
    </row>
    <row r="37">
      <c r="A37" t="inlineStr">
        <is>
          <t>ORD0036</t>
        </is>
      </c>
      <c r="B37" t="inlineStr">
        <is>
          <t>16-01-2026</t>
        </is>
      </c>
      <c r="C37" t="inlineStr">
        <is>
          <t>Student_36</t>
        </is>
      </c>
      <c r="D37" t="inlineStr">
        <is>
          <t>ERP_B</t>
        </is>
      </c>
      <c r="E37" t="inlineStr">
        <is>
          <t>Razorpay</t>
        </is>
      </c>
      <c r="F37" t="inlineStr">
        <is>
          <t>NetBanking</t>
        </is>
      </c>
      <c r="G37" t="inlineStr">
        <is>
          <t>Axis</t>
        </is>
      </c>
      <c r="H37" t="n">
        <v>18258</v>
      </c>
      <c r="I37" t="inlineStr">
        <is>
          <t>Flat</t>
        </is>
      </c>
      <c r="J37" t="n">
        <v>49</v>
      </c>
      <c r="K37" t="inlineStr">
        <is>
          <t>Flat</t>
        </is>
      </c>
      <c r="L37" t="n">
        <v>96</v>
      </c>
      <c r="M37" t="inlineStr">
        <is>
          <t>%</t>
        </is>
      </c>
      <c r="N37" t="n">
        <v>0.85</v>
      </c>
      <c r="O37" t="inlineStr">
        <is>
          <t>SUCCESS</t>
        </is>
      </c>
      <c r="P37" t="inlineStr">
        <is>
          <t>CAPTURED</t>
        </is>
      </c>
    </row>
    <row r="38">
      <c r="A38" t="inlineStr">
        <is>
          <t>ORD0037</t>
        </is>
      </c>
      <c r="B38" t="inlineStr">
        <is>
          <t>04-01-2026</t>
        </is>
      </c>
      <c r="C38" t="inlineStr">
        <is>
          <t>Student_37</t>
        </is>
      </c>
      <c r="D38" t="inlineStr">
        <is>
          <t>ERP_C</t>
        </is>
      </c>
      <c r="E38" t="inlineStr">
        <is>
          <t>Cashfree</t>
        </is>
      </c>
      <c r="F38" t="inlineStr">
        <is>
          <t>NetBanking</t>
        </is>
      </c>
      <c r="G38" t="inlineStr">
        <is>
          <t>ICICI</t>
        </is>
      </c>
      <c r="H38" t="n">
        <v>18838</v>
      </c>
      <c r="I38" t="inlineStr">
        <is>
          <t>Flat</t>
        </is>
      </c>
      <c r="J38" t="n">
        <v>67</v>
      </c>
      <c r="K38" t="inlineStr">
        <is>
          <t>Flat</t>
        </is>
      </c>
      <c r="L38" t="n">
        <v>127</v>
      </c>
      <c r="M38" t="inlineStr">
        <is>
          <t>%</t>
        </is>
      </c>
      <c r="N38" t="n">
        <v>0.92</v>
      </c>
      <c r="O38" t="inlineStr">
        <is>
          <t>FAILED</t>
        </is>
      </c>
      <c r="P38" t="inlineStr">
        <is>
          <t>NOT_CAPTURED</t>
        </is>
      </c>
    </row>
    <row r="39">
      <c r="A39" t="inlineStr">
        <is>
          <t>ORD0038</t>
        </is>
      </c>
      <c r="B39" t="inlineStr">
        <is>
          <t>19-02-2026</t>
        </is>
      </c>
      <c r="C39" t="inlineStr">
        <is>
          <t>Student_38</t>
        </is>
      </c>
      <c r="D39" t="inlineStr">
        <is>
          <t>ERP_C</t>
        </is>
      </c>
      <c r="E39" t="inlineStr">
        <is>
          <t>PayU</t>
        </is>
      </c>
      <c r="F39" t="inlineStr">
        <is>
          <t>NetBanking</t>
        </is>
      </c>
      <c r="G39" t="inlineStr">
        <is>
          <t>SBI</t>
        </is>
      </c>
      <c r="H39" t="n">
        <v>15939</v>
      </c>
      <c r="I39" t="inlineStr">
        <is>
          <t>%</t>
        </is>
      </c>
      <c r="J39" t="n">
        <v>1.16</v>
      </c>
      <c r="K39" t="inlineStr">
        <is>
          <t>Flat</t>
        </is>
      </c>
      <c r="L39" t="n">
        <v>87</v>
      </c>
      <c r="M39" t="inlineStr">
        <is>
          <t>%</t>
        </is>
      </c>
      <c r="N39" t="n">
        <v>0.65</v>
      </c>
      <c r="O39" t="inlineStr">
        <is>
          <t>PENDING</t>
        </is>
      </c>
      <c r="P39" t="inlineStr">
        <is>
          <t>NOT_CAPTURED</t>
        </is>
      </c>
    </row>
    <row r="40">
      <c r="A40" t="inlineStr">
        <is>
          <t>ORD0039</t>
        </is>
      </c>
      <c r="B40" t="inlineStr">
        <is>
          <t>03-02-2026</t>
        </is>
      </c>
      <c r="C40" t="inlineStr">
        <is>
          <t>Student_39</t>
        </is>
      </c>
      <c r="D40" t="inlineStr">
        <is>
          <t>ERP_A</t>
        </is>
      </c>
      <c r="E40" t="inlineStr">
        <is>
          <t>Cashfree</t>
        </is>
      </c>
      <c r="F40" t="inlineStr">
        <is>
          <t>UPI</t>
        </is>
      </c>
      <c r="G40" t="inlineStr">
        <is>
          <t>SBI</t>
        </is>
      </c>
      <c r="H40" t="n">
        <v>10352</v>
      </c>
      <c r="I40" t="inlineStr">
        <is>
          <t>Flat</t>
        </is>
      </c>
      <c r="J40" t="n">
        <v>61</v>
      </c>
      <c r="K40" t="inlineStr">
        <is>
          <t>%</t>
        </is>
      </c>
      <c r="L40" t="n">
        <v>1.84</v>
      </c>
      <c r="M40" t="inlineStr">
        <is>
          <t>Flat</t>
        </is>
      </c>
      <c r="N40" t="n">
        <v>11</v>
      </c>
      <c r="O40" t="inlineStr">
        <is>
          <t>FAILED</t>
        </is>
      </c>
      <c r="P40" t="inlineStr">
        <is>
          <t>NOT_CAPTURED</t>
        </is>
      </c>
    </row>
    <row r="41">
      <c r="A41" t="inlineStr">
        <is>
          <t>ORD0040</t>
        </is>
      </c>
      <c r="B41" t="inlineStr">
        <is>
          <t>05-02-2026</t>
        </is>
      </c>
      <c r="C41" t="inlineStr">
        <is>
          <t>Student_40</t>
        </is>
      </c>
      <c r="D41" t="inlineStr">
        <is>
          <t>ERP_A</t>
        </is>
      </c>
      <c r="E41" t="inlineStr">
        <is>
          <t>Cashfree</t>
        </is>
      </c>
      <c r="F41" t="inlineStr">
        <is>
          <t>Card</t>
        </is>
      </c>
      <c r="G41" t="inlineStr">
        <is>
          <t>ICICI</t>
        </is>
      </c>
      <c r="H41" t="n">
        <v>19964</v>
      </c>
      <c r="I41" t="inlineStr">
        <is>
          <t>%</t>
        </is>
      </c>
      <c r="J41" t="n">
        <v>1.22</v>
      </c>
      <c r="K41" t="inlineStr">
        <is>
          <t>%</t>
        </is>
      </c>
      <c r="L41" t="n">
        <v>1.24</v>
      </c>
      <c r="M41" t="inlineStr">
        <is>
          <t>%</t>
        </is>
      </c>
      <c r="N41" t="n">
        <v>0.6899999999999999</v>
      </c>
      <c r="O41" t="inlineStr">
        <is>
          <t>SUCCESS</t>
        </is>
      </c>
      <c r="P41" t="inlineStr">
        <is>
          <t>CAPTURED</t>
        </is>
      </c>
    </row>
    <row r="42">
      <c r="A42" t="inlineStr">
        <is>
          <t>ORD0041</t>
        </is>
      </c>
      <c r="B42" t="inlineStr">
        <is>
          <t>16-01-2026</t>
        </is>
      </c>
      <c r="C42" t="inlineStr">
        <is>
          <t>Student_41</t>
        </is>
      </c>
      <c r="D42" t="inlineStr">
        <is>
          <t>ERP_C</t>
        </is>
      </c>
      <c r="E42" t="inlineStr">
        <is>
          <t>PayU</t>
        </is>
      </c>
      <c r="F42" t="inlineStr">
        <is>
          <t>UPI</t>
        </is>
      </c>
      <c r="G42" t="inlineStr">
        <is>
          <t>SBI</t>
        </is>
      </c>
      <c r="H42" t="n">
        <v>1090</v>
      </c>
      <c r="I42" t="inlineStr">
        <is>
          <t>%</t>
        </is>
      </c>
      <c r="J42" t="n">
        <v>0.83</v>
      </c>
      <c r="K42" t="inlineStr">
        <is>
          <t>%</t>
        </is>
      </c>
      <c r="L42" t="n">
        <v>1.75</v>
      </c>
      <c r="M42" t="inlineStr">
        <is>
          <t>Flat</t>
        </is>
      </c>
      <c r="N42" t="n">
        <v>39</v>
      </c>
      <c r="O42" t="inlineStr">
        <is>
          <t>PENDING</t>
        </is>
      </c>
      <c r="P42" t="inlineStr">
        <is>
          <t>NOT_CAPTURED</t>
        </is>
      </c>
    </row>
    <row r="43">
      <c r="A43" t="inlineStr">
        <is>
          <t>ORD0042</t>
        </is>
      </c>
      <c r="B43" t="inlineStr">
        <is>
          <t>29-01-2026</t>
        </is>
      </c>
      <c r="C43" t="inlineStr">
        <is>
          <t>Student_42</t>
        </is>
      </c>
      <c r="D43" t="inlineStr">
        <is>
          <t>ERP_A</t>
        </is>
      </c>
      <c r="E43" t="inlineStr">
        <is>
          <t>Cashfree</t>
        </is>
      </c>
      <c r="F43" t="inlineStr">
        <is>
          <t>UPI</t>
        </is>
      </c>
      <c r="G43" t="inlineStr">
        <is>
          <t>SBI</t>
        </is>
      </c>
      <c r="H43" t="n">
        <v>9406</v>
      </c>
      <c r="I43" t="inlineStr">
        <is>
          <t>Flat</t>
        </is>
      </c>
      <c r="J43" t="n">
        <v>38</v>
      </c>
      <c r="K43" t="inlineStr">
        <is>
          <t>%</t>
        </is>
      </c>
      <c r="L43" t="n">
        <v>1.74</v>
      </c>
      <c r="M43" t="inlineStr">
        <is>
          <t>Flat</t>
        </is>
      </c>
      <c r="N43" t="n">
        <v>23</v>
      </c>
      <c r="O43" t="inlineStr">
        <is>
          <t>SUCCESS</t>
        </is>
      </c>
      <c r="P43" t="inlineStr">
        <is>
          <t>CAPTURED</t>
        </is>
      </c>
    </row>
    <row r="44">
      <c r="A44" t="inlineStr">
        <is>
          <t>ORD0043</t>
        </is>
      </c>
      <c r="B44" t="inlineStr">
        <is>
          <t>19-01-2026</t>
        </is>
      </c>
      <c r="C44" t="inlineStr">
        <is>
          <t>Student_43</t>
        </is>
      </c>
      <c r="D44" t="inlineStr">
        <is>
          <t>ERP_C</t>
        </is>
      </c>
      <c r="E44" t="inlineStr">
        <is>
          <t>PayU</t>
        </is>
      </c>
      <c r="F44" t="inlineStr">
        <is>
          <t>NetBanking</t>
        </is>
      </c>
      <c r="G44" t="inlineStr">
        <is>
          <t>ICICI</t>
        </is>
      </c>
      <c r="H44" t="n">
        <v>11626</v>
      </c>
      <c r="I44" t="inlineStr">
        <is>
          <t>%</t>
        </is>
      </c>
      <c r="J44" t="n">
        <v>1.37</v>
      </c>
      <c r="K44" t="inlineStr">
        <is>
          <t>%</t>
        </is>
      </c>
      <c r="L44" t="n">
        <v>1.53</v>
      </c>
      <c r="M44" t="inlineStr">
        <is>
          <t>Flat</t>
        </is>
      </c>
      <c r="N44" t="n">
        <v>50</v>
      </c>
      <c r="O44" t="inlineStr">
        <is>
          <t>PENDING</t>
        </is>
      </c>
      <c r="P44" t="inlineStr">
        <is>
          <t>NOT_CAPTURED</t>
        </is>
      </c>
    </row>
    <row r="45">
      <c r="A45" t="inlineStr">
        <is>
          <t>ORD0044</t>
        </is>
      </c>
      <c r="B45" t="inlineStr">
        <is>
          <t>17-01-2026</t>
        </is>
      </c>
      <c r="C45" t="inlineStr">
        <is>
          <t>Student_44</t>
        </is>
      </c>
      <c r="D45" t="inlineStr">
        <is>
          <t>ERP_C</t>
        </is>
      </c>
      <c r="E45" t="inlineStr">
        <is>
          <t>Cashfree</t>
        </is>
      </c>
      <c r="F45" t="inlineStr">
        <is>
          <t>NetBanking</t>
        </is>
      </c>
      <c r="G45" t="inlineStr">
        <is>
          <t>HDFC</t>
        </is>
      </c>
      <c r="H45" t="n">
        <v>10009</v>
      </c>
      <c r="I45" t="inlineStr">
        <is>
          <t>%</t>
        </is>
      </c>
      <c r="J45" t="n">
        <v>1.19</v>
      </c>
      <c r="K45" t="inlineStr">
        <is>
          <t>%</t>
        </is>
      </c>
      <c r="L45" t="n">
        <v>1.27</v>
      </c>
      <c r="M45" t="inlineStr">
        <is>
          <t>%</t>
        </is>
      </c>
      <c r="N45" t="n">
        <v>0.84</v>
      </c>
      <c r="O45" t="inlineStr">
        <is>
          <t>FAILED</t>
        </is>
      </c>
      <c r="P45" t="inlineStr">
        <is>
          <t>NOT_CAPTURED</t>
        </is>
      </c>
    </row>
    <row r="46">
      <c r="A46" t="inlineStr">
        <is>
          <t>ORD0045</t>
        </is>
      </c>
      <c r="B46" t="inlineStr">
        <is>
          <t>19-01-2026</t>
        </is>
      </c>
      <c r="C46" t="inlineStr">
        <is>
          <t>Student_45</t>
        </is>
      </c>
      <c r="D46" t="inlineStr">
        <is>
          <t>ERP_C</t>
        </is>
      </c>
      <c r="E46" t="inlineStr">
        <is>
          <t>Cashfree</t>
        </is>
      </c>
      <c r="F46" t="inlineStr">
        <is>
          <t>NetBanking</t>
        </is>
      </c>
      <c r="G46" t="inlineStr">
        <is>
          <t>SBI</t>
        </is>
      </c>
      <c r="H46" t="n">
        <v>14602</v>
      </c>
      <c r="I46" t="inlineStr">
        <is>
          <t>Flat</t>
        </is>
      </c>
      <c r="J46" t="n">
        <v>20</v>
      </c>
      <c r="K46" t="inlineStr">
        <is>
          <t>Flat</t>
        </is>
      </c>
      <c r="L46" t="n">
        <v>70</v>
      </c>
      <c r="M46" t="inlineStr">
        <is>
          <t>Flat</t>
        </is>
      </c>
      <c r="N46" t="n">
        <v>13</v>
      </c>
      <c r="O46" t="inlineStr">
        <is>
          <t>FAILED</t>
        </is>
      </c>
      <c r="P46" t="inlineStr">
        <is>
          <t>NOT_CAPTURED</t>
        </is>
      </c>
    </row>
    <row r="47">
      <c r="A47" t="inlineStr">
        <is>
          <t>ORD0046</t>
        </is>
      </c>
      <c r="B47" t="inlineStr">
        <is>
          <t>10-02-2026</t>
        </is>
      </c>
      <c r="C47" t="inlineStr">
        <is>
          <t>Student_46</t>
        </is>
      </c>
      <c r="D47" t="inlineStr">
        <is>
          <t>ERP_C</t>
        </is>
      </c>
      <c r="E47" t="inlineStr">
        <is>
          <t>Cashfree</t>
        </is>
      </c>
      <c r="F47" t="inlineStr">
        <is>
          <t>UPI</t>
        </is>
      </c>
      <c r="G47" t="inlineStr">
        <is>
          <t>HDFC</t>
        </is>
      </c>
      <c r="H47" t="n">
        <v>10401</v>
      </c>
      <c r="I47" t="inlineStr">
        <is>
          <t>%</t>
        </is>
      </c>
      <c r="J47" t="n">
        <v>1.26</v>
      </c>
      <c r="K47" t="inlineStr">
        <is>
          <t>Flat</t>
        </is>
      </c>
      <c r="L47" t="n">
        <v>129</v>
      </c>
      <c r="M47" t="inlineStr">
        <is>
          <t>Flat</t>
        </is>
      </c>
      <c r="N47" t="n">
        <v>13</v>
      </c>
      <c r="O47" t="inlineStr">
        <is>
          <t>PENDING</t>
        </is>
      </c>
      <c r="P47" t="inlineStr">
        <is>
          <t>NOT_CAPTURED</t>
        </is>
      </c>
    </row>
    <row r="48">
      <c r="A48" t="inlineStr">
        <is>
          <t>ORD0047</t>
        </is>
      </c>
      <c r="B48" t="inlineStr">
        <is>
          <t>17-02-2026</t>
        </is>
      </c>
      <c r="C48" t="inlineStr">
        <is>
          <t>Student_47</t>
        </is>
      </c>
      <c r="D48" t="inlineStr">
        <is>
          <t>ERP_C</t>
        </is>
      </c>
      <c r="E48" t="inlineStr">
        <is>
          <t>PayU</t>
        </is>
      </c>
      <c r="F48" t="inlineStr">
        <is>
          <t>NetBanking</t>
        </is>
      </c>
      <c r="G48" t="inlineStr">
        <is>
          <t>HDFC</t>
        </is>
      </c>
      <c r="H48" t="n">
        <v>18914</v>
      </c>
      <c r="I48" t="inlineStr">
        <is>
          <t>Flat</t>
        </is>
      </c>
      <c r="J48" t="n">
        <v>30</v>
      </c>
      <c r="K48" t="inlineStr">
        <is>
          <t>%</t>
        </is>
      </c>
      <c r="L48" t="n">
        <v>1.36</v>
      </c>
      <c r="M48" t="inlineStr">
        <is>
          <t>%</t>
        </is>
      </c>
      <c r="N48" t="n">
        <v>0.92</v>
      </c>
      <c r="O48" t="inlineStr">
        <is>
          <t>FAILED</t>
        </is>
      </c>
      <c r="P48" t="inlineStr">
        <is>
          <t>NOT_CAPTURED</t>
        </is>
      </c>
    </row>
    <row r="49">
      <c r="A49" t="inlineStr">
        <is>
          <t>ORD0048</t>
        </is>
      </c>
      <c r="B49" t="inlineStr">
        <is>
          <t>23-02-2026</t>
        </is>
      </c>
      <c r="C49" t="inlineStr">
        <is>
          <t>Student_48</t>
        </is>
      </c>
      <c r="D49" t="inlineStr">
        <is>
          <t>ERP_C</t>
        </is>
      </c>
      <c r="E49" t="inlineStr">
        <is>
          <t>PayU</t>
        </is>
      </c>
      <c r="F49" t="inlineStr">
        <is>
          <t>NetBanking</t>
        </is>
      </c>
      <c r="G49" t="inlineStr">
        <is>
          <t>ICICI</t>
        </is>
      </c>
      <c r="H49" t="n">
        <v>1203</v>
      </c>
      <c r="I49" t="inlineStr">
        <is>
          <t>%</t>
        </is>
      </c>
      <c r="J49" t="n">
        <v>0.9399999999999999</v>
      </c>
      <c r="K49" t="inlineStr">
        <is>
          <t>%</t>
        </is>
      </c>
      <c r="L49" t="n">
        <v>1.96</v>
      </c>
      <c r="M49" t="inlineStr">
        <is>
          <t>%</t>
        </is>
      </c>
      <c r="N49" t="n">
        <v>0.54</v>
      </c>
      <c r="O49" t="inlineStr">
        <is>
          <t>SUCCESS</t>
        </is>
      </c>
      <c r="P49" t="inlineStr">
        <is>
          <t>CAPTURED</t>
        </is>
      </c>
    </row>
    <row r="50">
      <c r="A50" t="inlineStr">
        <is>
          <t>ORD0049</t>
        </is>
      </c>
      <c r="B50" t="inlineStr">
        <is>
          <t>05-01-2026</t>
        </is>
      </c>
      <c r="C50" t="inlineStr">
        <is>
          <t>Student_49</t>
        </is>
      </c>
      <c r="D50" t="inlineStr">
        <is>
          <t>ERP_A</t>
        </is>
      </c>
      <c r="E50" t="inlineStr">
        <is>
          <t>Razorpay</t>
        </is>
      </c>
      <c r="F50" t="inlineStr">
        <is>
          <t>Wallet</t>
        </is>
      </c>
      <c r="G50" t="inlineStr">
        <is>
          <t>ICICI</t>
        </is>
      </c>
      <c r="H50" t="n">
        <v>6655</v>
      </c>
      <c r="I50" t="inlineStr">
        <is>
          <t>%</t>
        </is>
      </c>
      <c r="J50" t="n">
        <v>1.09</v>
      </c>
      <c r="K50" t="inlineStr">
        <is>
          <t>Flat</t>
        </is>
      </c>
      <c r="L50" t="n">
        <v>68</v>
      </c>
      <c r="M50" t="inlineStr">
        <is>
          <t>%</t>
        </is>
      </c>
      <c r="N50" t="n">
        <v>0.62</v>
      </c>
      <c r="O50" t="inlineStr">
        <is>
          <t>SUCCESS</t>
        </is>
      </c>
      <c r="P50" t="inlineStr">
        <is>
          <t>CAPTURED</t>
        </is>
      </c>
    </row>
    <row r="51">
      <c r="A51" t="inlineStr">
        <is>
          <t>ORD0050</t>
        </is>
      </c>
      <c r="B51" t="inlineStr">
        <is>
          <t>02-01-2026</t>
        </is>
      </c>
      <c r="C51" t="inlineStr">
        <is>
          <t>Student_50</t>
        </is>
      </c>
      <c r="D51" t="inlineStr">
        <is>
          <t>ERP_A</t>
        </is>
      </c>
      <c r="E51" t="inlineStr">
        <is>
          <t>Cashfree</t>
        </is>
      </c>
      <c r="F51" t="inlineStr">
        <is>
          <t>Card</t>
        </is>
      </c>
      <c r="G51" t="inlineStr">
        <is>
          <t>ICICI</t>
        </is>
      </c>
      <c r="H51" t="n">
        <v>7398</v>
      </c>
      <c r="I51" t="inlineStr">
        <is>
          <t>Flat</t>
        </is>
      </c>
      <c r="J51" t="n">
        <v>80</v>
      </c>
      <c r="K51" t="inlineStr">
        <is>
          <t>%</t>
        </is>
      </c>
      <c r="L51" t="n">
        <v>1.63</v>
      </c>
      <c r="M51" t="inlineStr">
        <is>
          <t>Flat</t>
        </is>
      </c>
      <c r="N51" t="n">
        <v>42</v>
      </c>
      <c r="O51" t="inlineStr">
        <is>
          <t>PENDING</t>
        </is>
      </c>
      <c r="P51" t="inlineStr">
        <is>
          <t>NOT_CAPTURED</t>
        </is>
      </c>
    </row>
    <row r="52">
      <c r="A52" t="inlineStr">
        <is>
          <t>ORD0051</t>
        </is>
      </c>
      <c r="B52" t="inlineStr">
        <is>
          <t>28-01-2026</t>
        </is>
      </c>
      <c r="C52" t="inlineStr">
        <is>
          <t>Student_51</t>
        </is>
      </c>
      <c r="D52" t="inlineStr">
        <is>
          <t>ERP_C</t>
        </is>
      </c>
      <c r="E52" t="inlineStr">
        <is>
          <t>Razorpay</t>
        </is>
      </c>
      <c r="F52" t="inlineStr">
        <is>
          <t>UPI</t>
        </is>
      </c>
      <c r="G52" t="inlineStr">
        <is>
          <t>SBI</t>
        </is>
      </c>
      <c r="H52" t="n">
        <v>14766</v>
      </c>
      <c r="I52" t="inlineStr">
        <is>
          <t>Flat</t>
        </is>
      </c>
      <c r="J52" t="n">
        <v>38</v>
      </c>
      <c r="K52" t="inlineStr">
        <is>
          <t>%</t>
        </is>
      </c>
      <c r="L52" t="n">
        <v>1.67</v>
      </c>
      <c r="M52" t="inlineStr">
        <is>
          <t>Flat</t>
        </is>
      </c>
      <c r="N52" t="n">
        <v>33</v>
      </c>
      <c r="O52" t="inlineStr">
        <is>
          <t>PENDING</t>
        </is>
      </c>
      <c r="P52" t="inlineStr">
        <is>
          <t>NOT_CAPTURED</t>
        </is>
      </c>
    </row>
    <row r="53">
      <c r="A53" t="inlineStr">
        <is>
          <t>ORD0052</t>
        </is>
      </c>
      <c r="B53" t="inlineStr">
        <is>
          <t>15-02-2026</t>
        </is>
      </c>
      <c r="C53" t="inlineStr">
        <is>
          <t>Student_52</t>
        </is>
      </c>
      <c r="D53" t="inlineStr">
        <is>
          <t>ERP_C</t>
        </is>
      </c>
      <c r="E53" t="inlineStr">
        <is>
          <t>Razorpay</t>
        </is>
      </c>
      <c r="F53" t="inlineStr">
        <is>
          <t>Card</t>
        </is>
      </c>
      <c r="G53" t="inlineStr">
        <is>
          <t>SBI</t>
        </is>
      </c>
      <c r="H53" t="n">
        <v>18634</v>
      </c>
      <c r="I53" t="inlineStr">
        <is>
          <t>%</t>
        </is>
      </c>
      <c r="J53" t="n">
        <v>1.01</v>
      </c>
      <c r="K53" t="inlineStr">
        <is>
          <t>%</t>
        </is>
      </c>
      <c r="L53" t="n">
        <v>1.75</v>
      </c>
      <c r="M53" t="inlineStr">
        <is>
          <t>%</t>
        </is>
      </c>
      <c r="N53" t="n">
        <v>0.9</v>
      </c>
      <c r="O53" t="inlineStr">
        <is>
          <t>SUCCESS</t>
        </is>
      </c>
      <c r="P53" t="inlineStr">
        <is>
          <t>CAPTURED</t>
        </is>
      </c>
    </row>
    <row r="54">
      <c r="A54" t="inlineStr">
        <is>
          <t>ORD0053</t>
        </is>
      </c>
      <c r="B54" t="inlineStr">
        <is>
          <t>01-03-2026</t>
        </is>
      </c>
      <c r="C54" t="inlineStr">
        <is>
          <t>Student_53</t>
        </is>
      </c>
      <c r="D54" t="inlineStr">
        <is>
          <t>ERP_C</t>
        </is>
      </c>
      <c r="E54" t="inlineStr">
        <is>
          <t>PayU</t>
        </is>
      </c>
      <c r="F54" t="inlineStr">
        <is>
          <t>Wallet</t>
        </is>
      </c>
      <c r="G54" t="inlineStr">
        <is>
          <t>SBI</t>
        </is>
      </c>
      <c r="H54" t="n">
        <v>12301</v>
      </c>
      <c r="I54" t="inlineStr">
        <is>
          <t>Flat</t>
        </is>
      </c>
      <c r="J54" t="n">
        <v>33</v>
      </c>
      <c r="K54" t="inlineStr">
        <is>
          <t>Flat</t>
        </is>
      </c>
      <c r="L54" t="n">
        <v>62</v>
      </c>
      <c r="M54" t="inlineStr">
        <is>
          <t>Flat</t>
        </is>
      </c>
      <c r="N54" t="n">
        <v>37</v>
      </c>
      <c r="O54" t="inlineStr">
        <is>
          <t>PENDING</t>
        </is>
      </c>
      <c r="P54" t="inlineStr">
        <is>
          <t>NOT_CAPTURED</t>
        </is>
      </c>
    </row>
    <row r="55">
      <c r="A55" t="inlineStr">
        <is>
          <t>ORD0054</t>
        </is>
      </c>
      <c r="B55" t="inlineStr">
        <is>
          <t>06-02-2026</t>
        </is>
      </c>
      <c r="C55" t="inlineStr">
        <is>
          <t>Student_54</t>
        </is>
      </c>
      <c r="D55" t="inlineStr">
        <is>
          <t>ERP_A</t>
        </is>
      </c>
      <c r="E55" t="inlineStr">
        <is>
          <t>PayU</t>
        </is>
      </c>
      <c r="F55" t="inlineStr">
        <is>
          <t>UPI</t>
        </is>
      </c>
      <c r="G55" t="inlineStr">
        <is>
          <t>SBI</t>
        </is>
      </c>
      <c r="H55" t="n">
        <v>13613</v>
      </c>
      <c r="I55" t="inlineStr">
        <is>
          <t>%</t>
        </is>
      </c>
      <c r="J55" t="n">
        <v>1.24</v>
      </c>
      <c r="K55" t="inlineStr">
        <is>
          <t>Flat</t>
        </is>
      </c>
      <c r="L55" t="n">
        <v>59</v>
      </c>
      <c r="M55" t="inlineStr">
        <is>
          <t>Flat</t>
        </is>
      </c>
      <c r="N55" t="n">
        <v>42</v>
      </c>
      <c r="O55" t="inlineStr">
        <is>
          <t>SUCCESS</t>
        </is>
      </c>
      <c r="P55" t="inlineStr">
        <is>
          <t>CAPTURED</t>
        </is>
      </c>
    </row>
    <row r="56">
      <c r="A56" t="inlineStr">
        <is>
          <t>ORD0055</t>
        </is>
      </c>
      <c r="B56" t="inlineStr">
        <is>
          <t>27-01-2026</t>
        </is>
      </c>
      <c r="C56" t="inlineStr">
        <is>
          <t>Student_55</t>
        </is>
      </c>
      <c r="D56" t="inlineStr">
        <is>
          <t>ERP_C</t>
        </is>
      </c>
      <c r="E56" t="inlineStr">
        <is>
          <t>Razorpay</t>
        </is>
      </c>
      <c r="F56" t="inlineStr">
        <is>
          <t>NetBanking</t>
        </is>
      </c>
      <c r="G56" t="inlineStr">
        <is>
          <t>SBI</t>
        </is>
      </c>
      <c r="H56" t="n">
        <v>11559</v>
      </c>
      <c r="I56" t="inlineStr">
        <is>
          <t>Flat</t>
        </is>
      </c>
      <c r="J56" t="n">
        <v>77</v>
      </c>
      <c r="K56" t="inlineStr">
        <is>
          <t>Flat</t>
        </is>
      </c>
      <c r="L56" t="n">
        <v>53</v>
      </c>
      <c r="M56" t="inlineStr">
        <is>
          <t>%</t>
        </is>
      </c>
      <c r="N56" t="n">
        <v>0.9399999999999999</v>
      </c>
      <c r="O56" t="inlineStr">
        <is>
          <t>FAILED</t>
        </is>
      </c>
      <c r="P56" t="inlineStr">
        <is>
          <t>NOT_CAPTURED</t>
        </is>
      </c>
    </row>
    <row r="57">
      <c r="A57" t="inlineStr">
        <is>
          <t>ORD0056</t>
        </is>
      </c>
      <c r="B57" t="inlineStr">
        <is>
          <t>30-01-2026</t>
        </is>
      </c>
      <c r="C57" t="inlineStr">
        <is>
          <t>Student_56</t>
        </is>
      </c>
      <c r="D57" t="inlineStr">
        <is>
          <t>ERP_B</t>
        </is>
      </c>
      <c r="E57" t="inlineStr">
        <is>
          <t>Razorpay</t>
        </is>
      </c>
      <c r="F57" t="inlineStr">
        <is>
          <t>UPI</t>
        </is>
      </c>
      <c r="G57" t="inlineStr">
        <is>
          <t>SBI</t>
        </is>
      </c>
      <c r="H57" t="n">
        <v>6161</v>
      </c>
      <c r="I57" t="inlineStr">
        <is>
          <t>Flat</t>
        </is>
      </c>
      <c r="J57" t="n">
        <v>25</v>
      </c>
      <c r="K57" t="inlineStr">
        <is>
          <t>%</t>
        </is>
      </c>
      <c r="L57" t="n">
        <v>1.31</v>
      </c>
      <c r="M57" t="inlineStr">
        <is>
          <t>Flat</t>
        </is>
      </c>
      <c r="N57" t="n">
        <v>33</v>
      </c>
      <c r="O57" t="inlineStr">
        <is>
          <t>PENDING</t>
        </is>
      </c>
      <c r="P57" t="inlineStr">
        <is>
          <t>NOT_CAPTURED</t>
        </is>
      </c>
    </row>
    <row r="58">
      <c r="A58" t="inlineStr">
        <is>
          <t>ORD0057</t>
        </is>
      </c>
      <c r="B58" t="inlineStr">
        <is>
          <t>20-02-2026</t>
        </is>
      </c>
      <c r="C58" t="inlineStr">
        <is>
          <t>Student_57</t>
        </is>
      </c>
      <c r="D58" t="inlineStr">
        <is>
          <t>ERP_A</t>
        </is>
      </c>
      <c r="E58" t="inlineStr">
        <is>
          <t>Cashfree</t>
        </is>
      </c>
      <c r="F58" t="inlineStr">
        <is>
          <t>UPI</t>
        </is>
      </c>
      <c r="G58" t="inlineStr">
        <is>
          <t>HDFC</t>
        </is>
      </c>
      <c r="H58" t="n">
        <v>11241</v>
      </c>
      <c r="I58" t="inlineStr">
        <is>
          <t>Flat</t>
        </is>
      </c>
      <c r="J58" t="n">
        <v>25</v>
      </c>
      <c r="K58" t="inlineStr">
        <is>
          <t>%</t>
        </is>
      </c>
      <c r="L58" t="n">
        <v>1.78</v>
      </c>
      <c r="M58" t="inlineStr">
        <is>
          <t>Flat</t>
        </is>
      </c>
      <c r="N58" t="n">
        <v>20</v>
      </c>
      <c r="O58" t="inlineStr">
        <is>
          <t>FAILED</t>
        </is>
      </c>
      <c r="P58" t="inlineStr">
        <is>
          <t>NOT_CAPTURED</t>
        </is>
      </c>
    </row>
    <row r="59">
      <c r="A59" t="inlineStr">
        <is>
          <t>ORD0058</t>
        </is>
      </c>
      <c r="B59" t="inlineStr">
        <is>
          <t>28-01-2026</t>
        </is>
      </c>
      <c r="C59" t="inlineStr">
        <is>
          <t>Student_58</t>
        </is>
      </c>
      <c r="D59" t="inlineStr">
        <is>
          <t>ERP_B</t>
        </is>
      </c>
      <c r="E59" t="inlineStr">
        <is>
          <t>PayU</t>
        </is>
      </c>
      <c r="F59" t="inlineStr">
        <is>
          <t>Wallet</t>
        </is>
      </c>
      <c r="G59" t="inlineStr">
        <is>
          <t>SBI</t>
        </is>
      </c>
      <c r="H59" t="n">
        <v>7815</v>
      </c>
      <c r="I59" t="inlineStr">
        <is>
          <t>%</t>
        </is>
      </c>
      <c r="J59" t="n">
        <v>0.98</v>
      </c>
      <c r="K59" t="inlineStr">
        <is>
          <t>%</t>
        </is>
      </c>
      <c r="L59" t="n">
        <v>1.25</v>
      </c>
      <c r="M59" t="inlineStr">
        <is>
          <t>%</t>
        </is>
      </c>
      <c r="N59" t="n">
        <v>0.68</v>
      </c>
      <c r="O59" t="inlineStr">
        <is>
          <t>SUCCESS</t>
        </is>
      </c>
      <c r="P59" t="inlineStr">
        <is>
          <t>CAPTURED</t>
        </is>
      </c>
    </row>
    <row r="60">
      <c r="A60" t="inlineStr">
        <is>
          <t>ORD0059</t>
        </is>
      </c>
      <c r="B60" t="inlineStr">
        <is>
          <t>21-02-2026</t>
        </is>
      </c>
      <c r="C60" t="inlineStr">
        <is>
          <t>Student_59</t>
        </is>
      </c>
      <c r="D60" t="inlineStr">
        <is>
          <t>ERP_A</t>
        </is>
      </c>
      <c r="E60" t="inlineStr">
        <is>
          <t>Razorpay</t>
        </is>
      </c>
      <c r="F60" t="inlineStr">
        <is>
          <t>UPI</t>
        </is>
      </c>
      <c r="G60" t="inlineStr">
        <is>
          <t>Axis</t>
        </is>
      </c>
      <c r="H60" t="n">
        <v>15515</v>
      </c>
      <c r="I60" t="inlineStr">
        <is>
          <t>%</t>
        </is>
      </c>
      <c r="J60" t="n">
        <v>1.34</v>
      </c>
      <c r="K60" t="inlineStr">
        <is>
          <t>Flat</t>
        </is>
      </c>
      <c r="L60" t="n">
        <v>65</v>
      </c>
      <c r="M60" t="inlineStr">
        <is>
          <t>Flat</t>
        </is>
      </c>
      <c r="N60" t="n">
        <v>36</v>
      </c>
      <c r="O60" t="inlineStr">
        <is>
          <t>FAILED</t>
        </is>
      </c>
      <c r="P60" t="inlineStr">
        <is>
          <t>NOT_CAPTURED</t>
        </is>
      </c>
    </row>
    <row r="61">
      <c r="A61" t="inlineStr">
        <is>
          <t>ORD0060</t>
        </is>
      </c>
      <c r="B61" t="inlineStr">
        <is>
          <t>08-02-2026</t>
        </is>
      </c>
      <c r="C61" t="inlineStr">
        <is>
          <t>Student_60</t>
        </is>
      </c>
      <c r="D61" t="inlineStr">
        <is>
          <t>ERP_B</t>
        </is>
      </c>
      <c r="E61" t="inlineStr">
        <is>
          <t>PayU</t>
        </is>
      </c>
      <c r="F61" t="inlineStr">
        <is>
          <t>NetBanking</t>
        </is>
      </c>
      <c r="G61" t="inlineStr">
        <is>
          <t>SBI</t>
        </is>
      </c>
      <c r="H61" t="n">
        <v>15634</v>
      </c>
      <c r="I61" t="inlineStr">
        <is>
          <t>%</t>
        </is>
      </c>
      <c r="J61" t="n">
        <v>1.29</v>
      </c>
      <c r="K61" t="inlineStr">
        <is>
          <t>Flat</t>
        </is>
      </c>
      <c r="L61" t="n">
        <v>101</v>
      </c>
      <c r="M61" t="inlineStr">
        <is>
          <t>%</t>
        </is>
      </c>
      <c r="N61" t="n">
        <v>0.75</v>
      </c>
      <c r="O61" t="inlineStr">
        <is>
          <t>SUCCESS</t>
        </is>
      </c>
      <c r="P61" t="inlineStr">
        <is>
          <t>CAPTURED</t>
        </is>
      </c>
    </row>
    <row r="62">
      <c r="A62" t="inlineStr">
        <is>
          <t>ORD0061</t>
        </is>
      </c>
      <c r="B62" t="inlineStr">
        <is>
          <t>20-01-2026</t>
        </is>
      </c>
      <c r="C62" t="inlineStr">
        <is>
          <t>Student_61</t>
        </is>
      </c>
      <c r="D62" t="inlineStr">
        <is>
          <t>ERP_C</t>
        </is>
      </c>
      <c r="E62" t="inlineStr">
        <is>
          <t>Razorpay</t>
        </is>
      </c>
      <c r="F62" t="inlineStr">
        <is>
          <t>UPI</t>
        </is>
      </c>
      <c r="G62" t="inlineStr">
        <is>
          <t>HDFC</t>
        </is>
      </c>
      <c r="H62" t="n">
        <v>2056</v>
      </c>
      <c r="I62" t="inlineStr">
        <is>
          <t>%</t>
        </is>
      </c>
      <c r="J62" t="n">
        <v>1.36</v>
      </c>
      <c r="K62" t="inlineStr">
        <is>
          <t>Flat</t>
        </is>
      </c>
      <c r="L62" t="n">
        <v>223</v>
      </c>
      <c r="M62" t="inlineStr">
        <is>
          <t>Flat</t>
        </is>
      </c>
      <c r="N62" t="n">
        <v>77</v>
      </c>
      <c r="O62" t="inlineStr">
        <is>
          <t>SUCCESS</t>
        </is>
      </c>
      <c r="P62" t="inlineStr">
        <is>
          <t>CAPTURED</t>
        </is>
      </c>
    </row>
    <row r="63">
      <c r="A63" t="inlineStr">
        <is>
          <t>ORD0062</t>
        </is>
      </c>
      <c r="B63" t="inlineStr">
        <is>
          <t>18-01-2026</t>
        </is>
      </c>
      <c r="C63" t="inlineStr">
        <is>
          <t>Student_62</t>
        </is>
      </c>
      <c r="D63" t="inlineStr">
        <is>
          <t>ERP_B</t>
        </is>
      </c>
      <c r="E63" t="inlineStr">
        <is>
          <t>Cashfree</t>
        </is>
      </c>
      <c r="F63" t="inlineStr">
        <is>
          <t>UPI</t>
        </is>
      </c>
      <c r="G63" t="inlineStr">
        <is>
          <t>SBI</t>
        </is>
      </c>
      <c r="H63" t="n">
        <v>16270</v>
      </c>
      <c r="I63" t="inlineStr">
        <is>
          <t>Flat</t>
        </is>
      </c>
      <c r="J63" t="n">
        <v>96</v>
      </c>
      <c r="K63" t="inlineStr">
        <is>
          <t>Flat</t>
        </is>
      </c>
      <c r="L63" t="n">
        <v>68</v>
      </c>
      <c r="M63" t="inlineStr">
        <is>
          <t>%</t>
        </is>
      </c>
      <c r="N63" t="n">
        <v>0.83</v>
      </c>
      <c r="O63" t="inlineStr">
        <is>
          <t>PENDING</t>
        </is>
      </c>
      <c r="P63" t="inlineStr">
        <is>
          <t>NOT_CAPTURED</t>
        </is>
      </c>
    </row>
    <row r="64">
      <c r="A64" t="inlineStr">
        <is>
          <t>ORD0063</t>
        </is>
      </c>
      <c r="B64" t="inlineStr">
        <is>
          <t>02-03-2026</t>
        </is>
      </c>
      <c r="C64" t="inlineStr">
        <is>
          <t>Student_63</t>
        </is>
      </c>
      <c r="D64" t="inlineStr">
        <is>
          <t>ERP_B</t>
        </is>
      </c>
      <c r="E64" t="inlineStr">
        <is>
          <t>Razorpay</t>
        </is>
      </c>
      <c r="F64" t="inlineStr">
        <is>
          <t>NetBanking</t>
        </is>
      </c>
      <c r="G64" t="inlineStr">
        <is>
          <t>HDFC</t>
        </is>
      </c>
      <c r="H64" t="n">
        <v>1321</v>
      </c>
      <c r="I64" t="inlineStr">
        <is>
          <t>%</t>
        </is>
      </c>
      <c r="J64" t="n">
        <v>1.44</v>
      </c>
      <c r="K64" t="inlineStr">
        <is>
          <t>%</t>
        </is>
      </c>
      <c r="L64" t="n">
        <v>1.51</v>
      </c>
      <c r="M64" t="inlineStr">
        <is>
          <t>Flat</t>
        </is>
      </c>
      <c r="N64" t="n">
        <v>65</v>
      </c>
      <c r="O64" t="inlineStr">
        <is>
          <t>FAILED</t>
        </is>
      </c>
      <c r="P64" t="inlineStr">
        <is>
          <t>NOT_CAPTURED</t>
        </is>
      </c>
    </row>
    <row r="65">
      <c r="A65" t="inlineStr">
        <is>
          <t>ORD0064</t>
        </is>
      </c>
      <c r="B65" t="inlineStr">
        <is>
          <t>02-02-2026</t>
        </is>
      </c>
      <c r="C65" t="inlineStr">
        <is>
          <t>Student_64</t>
        </is>
      </c>
      <c r="D65" t="inlineStr">
        <is>
          <t>ERP_A</t>
        </is>
      </c>
      <c r="E65" t="inlineStr">
        <is>
          <t>Razorpay</t>
        </is>
      </c>
      <c r="F65" t="inlineStr">
        <is>
          <t>NetBanking</t>
        </is>
      </c>
      <c r="G65" t="inlineStr">
        <is>
          <t>ICICI</t>
        </is>
      </c>
      <c r="H65" t="n">
        <v>9265</v>
      </c>
      <c r="I65" t="inlineStr">
        <is>
          <t>Flat</t>
        </is>
      </c>
      <c r="J65" t="n">
        <v>84</v>
      </c>
      <c r="K65" t="inlineStr">
        <is>
          <t>%</t>
        </is>
      </c>
      <c r="L65" t="n">
        <v>1.45</v>
      </c>
      <c r="M65" t="inlineStr">
        <is>
          <t>Flat</t>
        </is>
      </c>
      <c r="N65" t="n">
        <v>50</v>
      </c>
      <c r="O65" t="inlineStr">
        <is>
          <t>PENDING</t>
        </is>
      </c>
      <c r="P65" t="inlineStr">
        <is>
          <t>NOT_CAPTURED</t>
        </is>
      </c>
    </row>
    <row r="66">
      <c r="A66" t="inlineStr">
        <is>
          <t>ORD0065</t>
        </is>
      </c>
      <c r="B66" t="inlineStr">
        <is>
          <t>05-02-2026</t>
        </is>
      </c>
      <c r="C66" t="inlineStr">
        <is>
          <t>Student_65</t>
        </is>
      </c>
      <c r="D66" t="inlineStr">
        <is>
          <t>ERP_A</t>
        </is>
      </c>
      <c r="E66" t="inlineStr">
        <is>
          <t>PayU</t>
        </is>
      </c>
      <c r="F66" t="inlineStr">
        <is>
          <t>UPI</t>
        </is>
      </c>
      <c r="G66" t="inlineStr">
        <is>
          <t>HDFC</t>
        </is>
      </c>
      <c r="H66" t="n">
        <v>3359</v>
      </c>
      <c r="I66" t="inlineStr">
        <is>
          <t>Flat</t>
        </is>
      </c>
      <c r="J66" t="n">
        <v>83</v>
      </c>
      <c r="K66" t="inlineStr">
        <is>
          <t>%</t>
        </is>
      </c>
      <c r="L66" t="n">
        <v>1.76</v>
      </c>
      <c r="M66" t="inlineStr">
        <is>
          <t>%</t>
        </is>
      </c>
      <c r="N66" t="n">
        <v>0.9</v>
      </c>
      <c r="O66" t="inlineStr">
        <is>
          <t>SUCCESS</t>
        </is>
      </c>
      <c r="P66" t="inlineStr">
        <is>
          <t>CAPTURED</t>
        </is>
      </c>
    </row>
    <row r="67">
      <c r="A67" t="inlineStr">
        <is>
          <t>ORD0066</t>
        </is>
      </c>
      <c r="B67" t="inlineStr">
        <is>
          <t>12-02-2026</t>
        </is>
      </c>
      <c r="C67" t="inlineStr">
        <is>
          <t>Student_66</t>
        </is>
      </c>
      <c r="D67" t="inlineStr">
        <is>
          <t>ERP_B</t>
        </is>
      </c>
      <c r="E67" t="inlineStr">
        <is>
          <t>Cashfree</t>
        </is>
      </c>
      <c r="F67" t="inlineStr">
        <is>
          <t>NetBanking</t>
        </is>
      </c>
      <c r="G67" t="inlineStr">
        <is>
          <t>SBI</t>
        </is>
      </c>
      <c r="H67" t="n">
        <v>16507</v>
      </c>
      <c r="I67" t="inlineStr">
        <is>
          <t>%</t>
        </is>
      </c>
      <c r="J67" t="n">
        <v>1.34</v>
      </c>
      <c r="K67" t="inlineStr">
        <is>
          <t>%</t>
        </is>
      </c>
      <c r="L67" t="n">
        <v>1.53</v>
      </c>
      <c r="M67" t="inlineStr">
        <is>
          <t>%</t>
        </is>
      </c>
      <c r="N67" t="n">
        <v>0.63</v>
      </c>
      <c r="O67" t="inlineStr">
        <is>
          <t>FAILED</t>
        </is>
      </c>
      <c r="P67" t="inlineStr">
        <is>
          <t>NOT_CAPTURED</t>
        </is>
      </c>
    </row>
    <row r="68">
      <c r="A68" t="inlineStr">
        <is>
          <t>ORD0067</t>
        </is>
      </c>
      <c r="B68" t="inlineStr">
        <is>
          <t>09-01-2026</t>
        </is>
      </c>
      <c r="C68" t="inlineStr">
        <is>
          <t>Student_67</t>
        </is>
      </c>
      <c r="D68" t="inlineStr">
        <is>
          <t>ERP_C</t>
        </is>
      </c>
      <c r="E68" t="inlineStr">
        <is>
          <t>PayU</t>
        </is>
      </c>
      <c r="F68" t="inlineStr">
        <is>
          <t>Wallet</t>
        </is>
      </c>
      <c r="G68" t="inlineStr">
        <is>
          <t>ICICI</t>
        </is>
      </c>
      <c r="H68" t="n">
        <v>13322</v>
      </c>
      <c r="I68" t="inlineStr">
        <is>
          <t>Flat</t>
        </is>
      </c>
      <c r="J68" t="n">
        <v>40</v>
      </c>
      <c r="K68" t="inlineStr">
        <is>
          <t>%</t>
        </is>
      </c>
      <c r="L68" t="n">
        <v>1.99</v>
      </c>
      <c r="M68" t="inlineStr">
        <is>
          <t>Flat</t>
        </is>
      </c>
      <c r="N68" t="n">
        <v>76</v>
      </c>
      <c r="O68" t="inlineStr">
        <is>
          <t>PENDING</t>
        </is>
      </c>
      <c r="P68" t="inlineStr">
        <is>
          <t>NOT_CAPTURED</t>
        </is>
      </c>
    </row>
    <row r="69">
      <c r="A69" t="inlineStr">
        <is>
          <t>ORD0068</t>
        </is>
      </c>
      <c r="B69" t="inlineStr">
        <is>
          <t>11-01-2026</t>
        </is>
      </c>
      <c r="C69" t="inlineStr">
        <is>
          <t>Student_68</t>
        </is>
      </c>
      <c r="D69" t="inlineStr">
        <is>
          <t>ERP_C</t>
        </is>
      </c>
      <c r="E69" t="inlineStr">
        <is>
          <t>Razorpay</t>
        </is>
      </c>
      <c r="F69" t="inlineStr">
        <is>
          <t>Wallet</t>
        </is>
      </c>
      <c r="G69" t="inlineStr">
        <is>
          <t>Axis</t>
        </is>
      </c>
      <c r="H69" t="n">
        <v>14359</v>
      </c>
      <c r="I69" t="inlineStr">
        <is>
          <t>%</t>
        </is>
      </c>
      <c r="J69" t="n">
        <v>1.21</v>
      </c>
      <c r="K69" t="inlineStr">
        <is>
          <t>Flat</t>
        </is>
      </c>
      <c r="L69" t="n">
        <v>147</v>
      </c>
      <c r="M69" t="inlineStr">
        <is>
          <t>%</t>
        </is>
      </c>
      <c r="N69" t="n">
        <v>0.66</v>
      </c>
      <c r="O69" t="inlineStr">
        <is>
          <t>FAILED</t>
        </is>
      </c>
      <c r="P69" t="inlineStr">
        <is>
          <t>NOT_CAPTURED</t>
        </is>
      </c>
    </row>
    <row r="70">
      <c r="A70" t="inlineStr">
        <is>
          <t>ORD0069</t>
        </is>
      </c>
      <c r="B70" t="inlineStr">
        <is>
          <t>03-01-2026</t>
        </is>
      </c>
      <c r="C70" t="inlineStr">
        <is>
          <t>Student_69</t>
        </is>
      </c>
      <c r="D70" t="inlineStr">
        <is>
          <t>ERP_A</t>
        </is>
      </c>
      <c r="E70" t="inlineStr">
        <is>
          <t>PayU</t>
        </is>
      </c>
      <c r="F70" t="inlineStr">
        <is>
          <t>Wallet</t>
        </is>
      </c>
      <c r="G70" t="inlineStr">
        <is>
          <t>SBI</t>
        </is>
      </c>
      <c r="H70" t="n">
        <v>2281</v>
      </c>
      <c r="I70" t="inlineStr">
        <is>
          <t>Flat</t>
        </is>
      </c>
      <c r="J70" t="n">
        <v>37</v>
      </c>
      <c r="K70" t="inlineStr">
        <is>
          <t>%</t>
        </is>
      </c>
      <c r="L70" t="n">
        <v>1.78</v>
      </c>
      <c r="M70" t="inlineStr">
        <is>
          <t>%</t>
        </is>
      </c>
      <c r="N70" t="n">
        <v>0.68</v>
      </c>
      <c r="O70" t="inlineStr">
        <is>
          <t>FAILED</t>
        </is>
      </c>
      <c r="P70" t="inlineStr">
        <is>
          <t>NOT_CAPTURED</t>
        </is>
      </c>
    </row>
    <row r="71">
      <c r="A71" t="inlineStr">
        <is>
          <t>ORD0070</t>
        </is>
      </c>
      <c r="B71" t="inlineStr">
        <is>
          <t>29-01-2026</t>
        </is>
      </c>
      <c r="C71" t="inlineStr">
        <is>
          <t>Student_70</t>
        </is>
      </c>
      <c r="D71" t="inlineStr">
        <is>
          <t>ERP_A</t>
        </is>
      </c>
      <c r="E71" t="inlineStr">
        <is>
          <t>PayU</t>
        </is>
      </c>
      <c r="F71" t="inlineStr">
        <is>
          <t>Wallet</t>
        </is>
      </c>
      <c r="G71" t="inlineStr">
        <is>
          <t>ICICI</t>
        </is>
      </c>
      <c r="H71" t="n">
        <v>19863</v>
      </c>
      <c r="I71" t="inlineStr">
        <is>
          <t>%</t>
        </is>
      </c>
      <c r="J71" t="n">
        <v>0.8</v>
      </c>
      <c r="K71" t="inlineStr">
        <is>
          <t>Flat</t>
        </is>
      </c>
      <c r="L71" t="n">
        <v>229</v>
      </c>
      <c r="M71" t="inlineStr">
        <is>
          <t>Flat</t>
        </is>
      </c>
      <c r="N71" t="n">
        <v>28</v>
      </c>
      <c r="O71" t="inlineStr">
        <is>
          <t>FAILED</t>
        </is>
      </c>
      <c r="P71" t="inlineStr">
        <is>
          <t>NOT_CAPTURED</t>
        </is>
      </c>
    </row>
    <row r="72">
      <c r="A72" t="inlineStr">
        <is>
          <t>ORD0071</t>
        </is>
      </c>
      <c r="B72" t="inlineStr">
        <is>
          <t>04-01-2026</t>
        </is>
      </c>
      <c r="C72" t="inlineStr">
        <is>
          <t>Student_71</t>
        </is>
      </c>
      <c r="D72" t="inlineStr">
        <is>
          <t>ERP_C</t>
        </is>
      </c>
      <c r="E72" t="inlineStr">
        <is>
          <t>Razorpay</t>
        </is>
      </c>
      <c r="F72" t="inlineStr">
        <is>
          <t>UPI</t>
        </is>
      </c>
      <c r="G72" t="inlineStr">
        <is>
          <t>HDFC</t>
        </is>
      </c>
      <c r="H72" t="n">
        <v>10396</v>
      </c>
      <c r="I72" t="inlineStr">
        <is>
          <t>%</t>
        </is>
      </c>
      <c r="J72" t="n">
        <v>1.3</v>
      </c>
      <c r="K72" t="inlineStr">
        <is>
          <t>Flat</t>
        </is>
      </c>
      <c r="L72" t="n">
        <v>69</v>
      </c>
      <c r="M72" t="inlineStr">
        <is>
          <t>Flat</t>
        </is>
      </c>
      <c r="N72" t="n">
        <v>33</v>
      </c>
      <c r="O72" t="inlineStr">
        <is>
          <t>FAILED</t>
        </is>
      </c>
      <c r="P72" t="inlineStr">
        <is>
          <t>NOT_CAPTURED</t>
        </is>
      </c>
    </row>
    <row r="73">
      <c r="A73" t="inlineStr">
        <is>
          <t>ORD0072</t>
        </is>
      </c>
      <c r="B73" t="inlineStr">
        <is>
          <t>08-01-2026</t>
        </is>
      </c>
      <c r="C73" t="inlineStr">
        <is>
          <t>Student_72</t>
        </is>
      </c>
      <c r="D73" t="inlineStr">
        <is>
          <t>ERP_C</t>
        </is>
      </c>
      <c r="E73" t="inlineStr">
        <is>
          <t>Cashfree</t>
        </is>
      </c>
      <c r="F73" t="inlineStr">
        <is>
          <t>Wallet</t>
        </is>
      </c>
      <c r="G73" t="inlineStr">
        <is>
          <t>HDFC</t>
        </is>
      </c>
      <c r="H73" t="n">
        <v>18163</v>
      </c>
      <c r="I73" t="inlineStr">
        <is>
          <t>Flat</t>
        </is>
      </c>
      <c r="J73" t="n">
        <v>75</v>
      </c>
      <c r="K73" t="inlineStr">
        <is>
          <t>Flat</t>
        </is>
      </c>
      <c r="L73" t="n">
        <v>214</v>
      </c>
      <c r="M73" t="inlineStr">
        <is>
          <t>%</t>
        </is>
      </c>
      <c r="N73" t="n">
        <v>0.75</v>
      </c>
      <c r="O73" t="inlineStr">
        <is>
          <t>FAILED</t>
        </is>
      </c>
      <c r="P73" t="inlineStr">
        <is>
          <t>NOT_CAPTURED</t>
        </is>
      </c>
    </row>
    <row r="74">
      <c r="A74" t="inlineStr">
        <is>
          <t>ORD0073</t>
        </is>
      </c>
      <c r="B74" t="inlineStr">
        <is>
          <t>14-02-2026</t>
        </is>
      </c>
      <c r="C74" t="inlineStr">
        <is>
          <t>Student_73</t>
        </is>
      </c>
      <c r="D74" t="inlineStr">
        <is>
          <t>ERP_B</t>
        </is>
      </c>
      <c r="E74" t="inlineStr">
        <is>
          <t>Razorpay</t>
        </is>
      </c>
      <c r="F74" t="inlineStr">
        <is>
          <t>Wallet</t>
        </is>
      </c>
      <c r="G74" t="inlineStr">
        <is>
          <t>HDFC</t>
        </is>
      </c>
      <c r="H74" t="n">
        <v>4484</v>
      </c>
      <c r="I74" t="inlineStr">
        <is>
          <t>%</t>
        </is>
      </c>
      <c r="J74" t="n">
        <v>0.83</v>
      </c>
      <c r="K74" t="inlineStr">
        <is>
          <t>Flat</t>
        </is>
      </c>
      <c r="L74" t="n">
        <v>170</v>
      </c>
      <c r="M74" t="inlineStr">
        <is>
          <t>Flat</t>
        </is>
      </c>
      <c r="N74" t="n">
        <v>53</v>
      </c>
      <c r="O74" t="inlineStr">
        <is>
          <t>SUCCESS</t>
        </is>
      </c>
      <c r="P74" t="inlineStr">
        <is>
          <t>CAPTURED</t>
        </is>
      </c>
    </row>
    <row r="75">
      <c r="A75" t="inlineStr">
        <is>
          <t>ORD0074</t>
        </is>
      </c>
      <c r="B75" t="inlineStr">
        <is>
          <t>08-02-2026</t>
        </is>
      </c>
      <c r="C75" t="inlineStr">
        <is>
          <t>Student_74</t>
        </is>
      </c>
      <c r="D75" t="inlineStr">
        <is>
          <t>ERP_A</t>
        </is>
      </c>
      <c r="E75" t="inlineStr">
        <is>
          <t>PayU</t>
        </is>
      </c>
      <c r="F75" t="inlineStr">
        <is>
          <t>Card</t>
        </is>
      </c>
      <c r="G75" t="inlineStr">
        <is>
          <t>ICICI</t>
        </is>
      </c>
      <c r="H75" t="n">
        <v>5531</v>
      </c>
      <c r="I75" t="inlineStr">
        <is>
          <t>Flat</t>
        </is>
      </c>
      <c r="J75" t="n">
        <v>45</v>
      </c>
      <c r="K75" t="inlineStr">
        <is>
          <t>Flat</t>
        </is>
      </c>
      <c r="L75" t="n">
        <v>95</v>
      </c>
      <c r="M75" t="inlineStr">
        <is>
          <t>%</t>
        </is>
      </c>
      <c r="N75" t="n">
        <v>0.89</v>
      </c>
      <c r="O75" t="inlineStr">
        <is>
          <t>PENDING</t>
        </is>
      </c>
      <c r="P75" t="inlineStr">
        <is>
          <t>NOT_CAPTURED</t>
        </is>
      </c>
    </row>
    <row r="76">
      <c r="A76" t="inlineStr">
        <is>
          <t>ORD0075</t>
        </is>
      </c>
      <c r="B76" t="inlineStr">
        <is>
          <t>13-02-2026</t>
        </is>
      </c>
      <c r="C76" t="inlineStr">
        <is>
          <t>Student_75</t>
        </is>
      </c>
      <c r="D76" t="inlineStr">
        <is>
          <t>ERP_C</t>
        </is>
      </c>
      <c r="E76" t="inlineStr">
        <is>
          <t>PayU</t>
        </is>
      </c>
      <c r="F76" t="inlineStr">
        <is>
          <t>NetBanking</t>
        </is>
      </c>
      <c r="G76" t="inlineStr">
        <is>
          <t>SBI</t>
        </is>
      </c>
      <c r="H76" t="n">
        <v>3183</v>
      </c>
      <c r="I76" t="inlineStr">
        <is>
          <t>Flat</t>
        </is>
      </c>
      <c r="J76" t="n">
        <v>72</v>
      </c>
      <c r="K76" t="inlineStr">
        <is>
          <t>Flat</t>
        </is>
      </c>
      <c r="L76" t="n">
        <v>166</v>
      </c>
      <c r="M76" t="inlineStr">
        <is>
          <t>Flat</t>
        </is>
      </c>
      <c r="N76" t="n">
        <v>44</v>
      </c>
      <c r="O76" t="inlineStr">
        <is>
          <t>SUCCESS</t>
        </is>
      </c>
      <c r="P76" t="inlineStr">
        <is>
          <t>CAPTURED</t>
        </is>
      </c>
    </row>
    <row r="77">
      <c r="A77" t="inlineStr">
        <is>
          <t>ORD0076</t>
        </is>
      </c>
      <c r="B77" t="inlineStr">
        <is>
          <t>31-01-2026</t>
        </is>
      </c>
      <c r="C77" t="inlineStr">
        <is>
          <t>Student_76</t>
        </is>
      </c>
      <c r="D77" t="inlineStr">
        <is>
          <t>ERP_A</t>
        </is>
      </c>
      <c r="E77" t="inlineStr">
        <is>
          <t>Razorpay</t>
        </is>
      </c>
      <c r="F77" t="inlineStr">
        <is>
          <t>NetBanking</t>
        </is>
      </c>
      <c r="G77" t="inlineStr">
        <is>
          <t>HDFC</t>
        </is>
      </c>
      <c r="H77" t="n">
        <v>11236</v>
      </c>
      <c r="I77" t="inlineStr">
        <is>
          <t>Flat</t>
        </is>
      </c>
      <c r="J77" t="n">
        <v>75</v>
      </c>
      <c r="K77" t="inlineStr">
        <is>
          <t>%</t>
        </is>
      </c>
      <c r="L77" t="n">
        <v>1.82</v>
      </c>
      <c r="M77" t="inlineStr">
        <is>
          <t>Flat</t>
        </is>
      </c>
      <c r="N77" t="n">
        <v>34</v>
      </c>
      <c r="O77" t="inlineStr">
        <is>
          <t>PENDING</t>
        </is>
      </c>
      <c r="P77" t="inlineStr">
        <is>
          <t>NOT_CAPTURED</t>
        </is>
      </c>
    </row>
    <row r="78">
      <c r="A78" t="inlineStr">
        <is>
          <t>ORD0077</t>
        </is>
      </c>
      <c r="B78" t="inlineStr">
        <is>
          <t>09-01-2026</t>
        </is>
      </c>
      <c r="C78" t="inlineStr">
        <is>
          <t>Student_77</t>
        </is>
      </c>
      <c r="D78" t="inlineStr">
        <is>
          <t>ERP_C</t>
        </is>
      </c>
      <c r="E78" t="inlineStr">
        <is>
          <t>Cashfree</t>
        </is>
      </c>
      <c r="F78" t="inlineStr">
        <is>
          <t>UPI</t>
        </is>
      </c>
      <c r="G78" t="inlineStr">
        <is>
          <t>Axis</t>
        </is>
      </c>
      <c r="H78" t="n">
        <v>18088</v>
      </c>
      <c r="I78" t="inlineStr">
        <is>
          <t>Flat</t>
        </is>
      </c>
      <c r="J78" t="n">
        <v>59</v>
      </c>
      <c r="K78" t="inlineStr">
        <is>
          <t>%</t>
        </is>
      </c>
      <c r="L78" t="n">
        <v>1.38</v>
      </c>
      <c r="M78" t="inlineStr">
        <is>
          <t>Flat</t>
        </is>
      </c>
      <c r="N78" t="n">
        <v>78</v>
      </c>
      <c r="O78" t="inlineStr">
        <is>
          <t>SUCCESS</t>
        </is>
      </c>
      <c r="P78" t="inlineStr">
        <is>
          <t>CAPTURED</t>
        </is>
      </c>
    </row>
    <row r="79">
      <c r="A79" t="inlineStr">
        <is>
          <t>ORD0078</t>
        </is>
      </c>
      <c r="B79" t="inlineStr">
        <is>
          <t>12-02-2026</t>
        </is>
      </c>
      <c r="C79" t="inlineStr">
        <is>
          <t>Student_78</t>
        </is>
      </c>
      <c r="D79" t="inlineStr">
        <is>
          <t>ERP_C</t>
        </is>
      </c>
      <c r="E79" t="inlineStr">
        <is>
          <t>PayU</t>
        </is>
      </c>
      <c r="F79" t="inlineStr">
        <is>
          <t>Card</t>
        </is>
      </c>
      <c r="G79" t="inlineStr">
        <is>
          <t>Axis</t>
        </is>
      </c>
      <c r="H79" t="n">
        <v>8134</v>
      </c>
      <c r="I79" t="inlineStr">
        <is>
          <t>%</t>
        </is>
      </c>
      <c r="J79" t="n">
        <v>0.93</v>
      </c>
      <c r="K79" t="inlineStr">
        <is>
          <t>%</t>
        </is>
      </c>
      <c r="L79" t="n">
        <v>1.39</v>
      </c>
      <c r="M79" t="inlineStr">
        <is>
          <t>Flat</t>
        </is>
      </c>
      <c r="N79" t="n">
        <v>25</v>
      </c>
      <c r="O79" t="inlineStr">
        <is>
          <t>PENDING</t>
        </is>
      </c>
      <c r="P79" t="inlineStr">
        <is>
          <t>NOT_CAPTURED</t>
        </is>
      </c>
    </row>
    <row r="80">
      <c r="A80" t="inlineStr">
        <is>
          <t>ORD0079</t>
        </is>
      </c>
      <c r="B80" t="inlineStr">
        <is>
          <t>26-01-2026</t>
        </is>
      </c>
      <c r="C80" t="inlineStr">
        <is>
          <t>Student_79</t>
        </is>
      </c>
      <c r="D80" t="inlineStr">
        <is>
          <t>ERP_C</t>
        </is>
      </c>
      <c r="E80" t="inlineStr">
        <is>
          <t>Razorpay</t>
        </is>
      </c>
      <c r="F80" t="inlineStr">
        <is>
          <t>Wallet</t>
        </is>
      </c>
      <c r="G80" t="inlineStr">
        <is>
          <t>Axis</t>
        </is>
      </c>
      <c r="H80" t="n">
        <v>9525</v>
      </c>
      <c r="I80" t="inlineStr">
        <is>
          <t>Flat</t>
        </is>
      </c>
      <c r="J80" t="n">
        <v>34</v>
      </c>
      <c r="K80" t="inlineStr">
        <is>
          <t>Flat</t>
        </is>
      </c>
      <c r="L80" t="n">
        <v>184</v>
      </c>
      <c r="M80" t="inlineStr">
        <is>
          <t>Flat</t>
        </is>
      </c>
      <c r="N80" t="n">
        <v>20</v>
      </c>
      <c r="O80" t="inlineStr">
        <is>
          <t>SUCCESS</t>
        </is>
      </c>
      <c r="P80" t="inlineStr">
        <is>
          <t>CAPTURED</t>
        </is>
      </c>
    </row>
    <row r="81">
      <c r="A81" t="inlineStr">
        <is>
          <t>ORD0080</t>
        </is>
      </c>
      <c r="B81" t="inlineStr">
        <is>
          <t>17-02-2026</t>
        </is>
      </c>
      <c r="C81" t="inlineStr">
        <is>
          <t>Student_80</t>
        </is>
      </c>
      <c r="D81" t="inlineStr">
        <is>
          <t>ERP_A</t>
        </is>
      </c>
      <c r="E81" t="inlineStr">
        <is>
          <t>PayU</t>
        </is>
      </c>
      <c r="F81" t="inlineStr">
        <is>
          <t>Wallet</t>
        </is>
      </c>
      <c r="G81" t="inlineStr">
        <is>
          <t>Axis</t>
        </is>
      </c>
      <c r="H81" t="n">
        <v>6023</v>
      </c>
      <c r="I81" t="inlineStr">
        <is>
          <t>Flat</t>
        </is>
      </c>
      <c r="J81" t="n">
        <v>83</v>
      </c>
      <c r="K81" t="inlineStr">
        <is>
          <t>%</t>
        </is>
      </c>
      <c r="L81" t="n">
        <v>1.41</v>
      </c>
      <c r="M81" t="inlineStr">
        <is>
          <t>Flat</t>
        </is>
      </c>
      <c r="N81" t="n">
        <v>61</v>
      </c>
      <c r="O81" t="inlineStr">
        <is>
          <t>PENDING</t>
        </is>
      </c>
      <c r="P81" t="inlineStr">
        <is>
          <t>NOT_CAPTURED</t>
        </is>
      </c>
    </row>
    <row r="82">
      <c r="A82" t="inlineStr">
        <is>
          <t>ORD0081</t>
        </is>
      </c>
      <c r="B82" t="inlineStr">
        <is>
          <t>05-01-2026</t>
        </is>
      </c>
      <c r="C82" t="inlineStr">
        <is>
          <t>Student_81</t>
        </is>
      </c>
      <c r="D82" t="inlineStr">
        <is>
          <t>ERP_A</t>
        </is>
      </c>
      <c r="E82" t="inlineStr">
        <is>
          <t>Razorpay</t>
        </is>
      </c>
      <c r="F82" t="inlineStr">
        <is>
          <t>UPI</t>
        </is>
      </c>
      <c r="G82" t="inlineStr">
        <is>
          <t>ICICI</t>
        </is>
      </c>
      <c r="H82" t="n">
        <v>10215</v>
      </c>
      <c r="I82" t="inlineStr">
        <is>
          <t>%</t>
        </is>
      </c>
      <c r="J82" t="n">
        <v>0.98</v>
      </c>
      <c r="K82" t="inlineStr">
        <is>
          <t>%</t>
        </is>
      </c>
      <c r="L82" t="n">
        <v>1.75</v>
      </c>
      <c r="M82" t="inlineStr">
        <is>
          <t>Flat</t>
        </is>
      </c>
      <c r="N82" t="n">
        <v>78</v>
      </c>
      <c r="O82" t="inlineStr">
        <is>
          <t>PENDING</t>
        </is>
      </c>
      <c r="P82" t="inlineStr">
        <is>
          <t>NOT_CAPTURED</t>
        </is>
      </c>
    </row>
    <row r="83">
      <c r="A83" t="inlineStr">
        <is>
          <t>ORD0082</t>
        </is>
      </c>
      <c r="B83" t="inlineStr">
        <is>
          <t>15-01-2026</t>
        </is>
      </c>
      <c r="C83" t="inlineStr">
        <is>
          <t>Student_82</t>
        </is>
      </c>
      <c r="D83" t="inlineStr">
        <is>
          <t>ERP_C</t>
        </is>
      </c>
      <c r="E83" t="inlineStr">
        <is>
          <t>PayU</t>
        </is>
      </c>
      <c r="F83" t="inlineStr">
        <is>
          <t>Card</t>
        </is>
      </c>
      <c r="G83" t="inlineStr">
        <is>
          <t>HDFC</t>
        </is>
      </c>
      <c r="H83" t="n">
        <v>19047</v>
      </c>
      <c r="I83" t="inlineStr">
        <is>
          <t>%</t>
        </is>
      </c>
      <c r="J83" t="n">
        <v>1.15</v>
      </c>
      <c r="K83" t="inlineStr">
        <is>
          <t>Flat</t>
        </is>
      </c>
      <c r="L83" t="n">
        <v>189</v>
      </c>
      <c r="M83" t="inlineStr">
        <is>
          <t>%</t>
        </is>
      </c>
      <c r="N83" t="n">
        <v>0.76</v>
      </c>
      <c r="O83" t="inlineStr">
        <is>
          <t>SUCCESS</t>
        </is>
      </c>
      <c r="P83" t="inlineStr">
        <is>
          <t>CAPTURED</t>
        </is>
      </c>
    </row>
    <row r="84">
      <c r="A84" t="inlineStr">
        <is>
          <t>ORD0083</t>
        </is>
      </c>
      <c r="B84" t="inlineStr">
        <is>
          <t>27-02-2026</t>
        </is>
      </c>
      <c r="C84" t="inlineStr">
        <is>
          <t>Student_83</t>
        </is>
      </c>
      <c r="D84" t="inlineStr">
        <is>
          <t>ERP_B</t>
        </is>
      </c>
      <c r="E84" t="inlineStr">
        <is>
          <t>PayU</t>
        </is>
      </c>
      <c r="F84" t="inlineStr">
        <is>
          <t>UPI</t>
        </is>
      </c>
      <c r="G84" t="inlineStr">
        <is>
          <t>HDFC</t>
        </is>
      </c>
      <c r="H84" t="n">
        <v>19492</v>
      </c>
      <c r="I84" t="inlineStr">
        <is>
          <t>Flat</t>
        </is>
      </c>
      <c r="J84" t="n">
        <v>94</v>
      </c>
      <c r="K84" t="inlineStr">
        <is>
          <t>Flat</t>
        </is>
      </c>
      <c r="L84" t="n">
        <v>219</v>
      </c>
      <c r="M84" t="inlineStr">
        <is>
          <t>Flat</t>
        </is>
      </c>
      <c r="N84" t="n">
        <v>56</v>
      </c>
      <c r="O84" t="inlineStr">
        <is>
          <t>PENDING</t>
        </is>
      </c>
      <c r="P84" t="inlineStr">
        <is>
          <t>NOT_CAPTURED</t>
        </is>
      </c>
    </row>
    <row r="85">
      <c r="A85" t="inlineStr">
        <is>
          <t>ORD0084</t>
        </is>
      </c>
      <c r="B85" t="inlineStr">
        <is>
          <t>09-01-2026</t>
        </is>
      </c>
      <c r="C85" t="inlineStr">
        <is>
          <t>Student_84</t>
        </is>
      </c>
      <c r="D85" t="inlineStr">
        <is>
          <t>ERP_A</t>
        </is>
      </c>
      <c r="E85" t="inlineStr">
        <is>
          <t>PayU</t>
        </is>
      </c>
      <c r="F85" t="inlineStr">
        <is>
          <t>Card</t>
        </is>
      </c>
      <c r="G85" t="inlineStr">
        <is>
          <t>SBI</t>
        </is>
      </c>
      <c r="H85" t="n">
        <v>5945</v>
      </c>
      <c r="I85" t="inlineStr">
        <is>
          <t>%</t>
        </is>
      </c>
      <c r="J85" t="n">
        <v>1.49</v>
      </c>
      <c r="K85" t="inlineStr">
        <is>
          <t>Flat</t>
        </is>
      </c>
      <c r="L85" t="n">
        <v>167</v>
      </c>
      <c r="M85" t="inlineStr">
        <is>
          <t>%</t>
        </is>
      </c>
      <c r="N85" t="n">
        <v>0.8</v>
      </c>
      <c r="O85" t="inlineStr">
        <is>
          <t>FAILED</t>
        </is>
      </c>
      <c r="P85" t="inlineStr">
        <is>
          <t>NOT_CAPTURED</t>
        </is>
      </c>
    </row>
    <row r="86">
      <c r="A86" t="inlineStr">
        <is>
          <t>ORD0085</t>
        </is>
      </c>
      <c r="B86" t="inlineStr">
        <is>
          <t>23-01-2026</t>
        </is>
      </c>
      <c r="C86" t="inlineStr">
        <is>
          <t>Student_85</t>
        </is>
      </c>
      <c r="D86" t="inlineStr">
        <is>
          <t>ERP_A</t>
        </is>
      </c>
      <c r="E86" t="inlineStr">
        <is>
          <t>PayU</t>
        </is>
      </c>
      <c r="F86" t="inlineStr">
        <is>
          <t>Wallet</t>
        </is>
      </c>
      <c r="G86" t="inlineStr">
        <is>
          <t>SBI</t>
        </is>
      </c>
      <c r="H86" t="n">
        <v>11689</v>
      </c>
      <c r="I86" t="inlineStr">
        <is>
          <t>%</t>
        </is>
      </c>
      <c r="J86" t="n">
        <v>1.15</v>
      </c>
      <c r="K86" t="inlineStr">
        <is>
          <t>Flat</t>
        </is>
      </c>
      <c r="L86" t="n">
        <v>230</v>
      </c>
      <c r="M86" t="inlineStr">
        <is>
          <t>%</t>
        </is>
      </c>
      <c r="N86" t="n">
        <v>0.77</v>
      </c>
      <c r="O86" t="inlineStr">
        <is>
          <t>PENDING</t>
        </is>
      </c>
      <c r="P86" t="inlineStr">
        <is>
          <t>NOT_CAPTURED</t>
        </is>
      </c>
    </row>
    <row r="87">
      <c r="A87" t="inlineStr">
        <is>
          <t>ORD0086</t>
        </is>
      </c>
      <c r="B87" t="inlineStr">
        <is>
          <t>10-01-2026</t>
        </is>
      </c>
      <c r="C87" t="inlineStr">
        <is>
          <t>Student_86</t>
        </is>
      </c>
      <c r="D87" t="inlineStr">
        <is>
          <t>ERP_B</t>
        </is>
      </c>
      <c r="E87" t="inlineStr">
        <is>
          <t>PayU</t>
        </is>
      </c>
      <c r="F87" t="inlineStr">
        <is>
          <t>Card</t>
        </is>
      </c>
      <c r="G87" t="inlineStr">
        <is>
          <t>HDFC</t>
        </is>
      </c>
      <c r="H87" t="n">
        <v>13969</v>
      </c>
      <c r="I87" t="inlineStr">
        <is>
          <t>%</t>
        </is>
      </c>
      <c r="J87" t="n">
        <v>1.49</v>
      </c>
      <c r="K87" t="inlineStr">
        <is>
          <t>Flat</t>
        </is>
      </c>
      <c r="L87" t="n">
        <v>87</v>
      </c>
      <c r="M87" t="inlineStr">
        <is>
          <t>Flat</t>
        </is>
      </c>
      <c r="N87" t="n">
        <v>77</v>
      </c>
      <c r="O87" t="inlineStr">
        <is>
          <t>SUCCESS</t>
        </is>
      </c>
      <c r="P87" t="inlineStr">
        <is>
          <t>CAPTURED</t>
        </is>
      </c>
    </row>
    <row r="88">
      <c r="A88" t="inlineStr">
        <is>
          <t>ORD0087</t>
        </is>
      </c>
      <c r="B88" t="inlineStr">
        <is>
          <t>29-01-2026</t>
        </is>
      </c>
      <c r="C88" t="inlineStr">
        <is>
          <t>Student_87</t>
        </is>
      </c>
      <c r="D88" t="inlineStr">
        <is>
          <t>ERP_C</t>
        </is>
      </c>
      <c r="E88" t="inlineStr">
        <is>
          <t>Razorpay</t>
        </is>
      </c>
      <c r="F88" t="inlineStr">
        <is>
          <t>Card</t>
        </is>
      </c>
      <c r="G88" t="inlineStr">
        <is>
          <t>ICICI</t>
        </is>
      </c>
      <c r="H88" t="n">
        <v>12721</v>
      </c>
      <c r="I88" t="inlineStr">
        <is>
          <t>Flat</t>
        </is>
      </c>
      <c r="J88" t="n">
        <v>45</v>
      </c>
      <c r="K88" t="inlineStr">
        <is>
          <t>%</t>
        </is>
      </c>
      <c r="L88" t="n">
        <v>1.38</v>
      </c>
      <c r="M88" t="inlineStr">
        <is>
          <t>%</t>
        </is>
      </c>
      <c r="N88" t="n">
        <v>0.85</v>
      </c>
      <c r="O88" t="inlineStr">
        <is>
          <t>FAILED</t>
        </is>
      </c>
      <c r="P88" t="inlineStr">
        <is>
          <t>NOT_CAPTURED</t>
        </is>
      </c>
    </row>
    <row r="89">
      <c r="A89" t="inlineStr">
        <is>
          <t>ORD0088</t>
        </is>
      </c>
      <c r="B89" t="inlineStr">
        <is>
          <t>09-01-2026</t>
        </is>
      </c>
      <c r="C89" t="inlineStr">
        <is>
          <t>Student_88</t>
        </is>
      </c>
      <c r="D89" t="inlineStr">
        <is>
          <t>ERP_A</t>
        </is>
      </c>
      <c r="E89" t="inlineStr">
        <is>
          <t>Razorpay</t>
        </is>
      </c>
      <c r="F89" t="inlineStr">
        <is>
          <t>UPI</t>
        </is>
      </c>
      <c r="G89" t="inlineStr">
        <is>
          <t>Axis</t>
        </is>
      </c>
      <c r="H89" t="n">
        <v>13578</v>
      </c>
      <c r="I89" t="inlineStr">
        <is>
          <t>%</t>
        </is>
      </c>
      <c r="J89" t="n">
        <v>1.42</v>
      </c>
      <c r="K89" t="inlineStr">
        <is>
          <t>Flat</t>
        </is>
      </c>
      <c r="L89" t="n">
        <v>202</v>
      </c>
      <c r="M89" t="inlineStr">
        <is>
          <t>Flat</t>
        </is>
      </c>
      <c r="N89" t="n">
        <v>19</v>
      </c>
      <c r="O89" t="inlineStr">
        <is>
          <t>FAILED</t>
        </is>
      </c>
      <c r="P89" t="inlineStr">
        <is>
          <t>NOT_CAPTURED</t>
        </is>
      </c>
    </row>
    <row r="90">
      <c r="A90" t="inlineStr">
        <is>
          <t>ORD0089</t>
        </is>
      </c>
      <c r="B90" t="inlineStr">
        <is>
          <t>11-02-2026</t>
        </is>
      </c>
      <c r="C90" t="inlineStr">
        <is>
          <t>Student_89</t>
        </is>
      </c>
      <c r="D90" t="inlineStr">
        <is>
          <t>ERP_C</t>
        </is>
      </c>
      <c r="E90" t="inlineStr">
        <is>
          <t>Cashfree</t>
        </is>
      </c>
      <c r="F90" t="inlineStr">
        <is>
          <t>Card</t>
        </is>
      </c>
      <c r="G90" t="inlineStr">
        <is>
          <t>Axis</t>
        </is>
      </c>
      <c r="H90" t="n">
        <v>17817</v>
      </c>
      <c r="I90" t="inlineStr">
        <is>
          <t>Flat</t>
        </is>
      </c>
      <c r="J90" t="n">
        <v>57</v>
      </c>
      <c r="K90" t="inlineStr">
        <is>
          <t>Flat</t>
        </is>
      </c>
      <c r="L90" t="n">
        <v>243</v>
      </c>
      <c r="M90" t="inlineStr">
        <is>
          <t>Flat</t>
        </is>
      </c>
      <c r="N90" t="n">
        <v>52</v>
      </c>
      <c r="O90" t="inlineStr">
        <is>
          <t>SUCCESS</t>
        </is>
      </c>
      <c r="P90" t="inlineStr">
        <is>
          <t>CAPTURED</t>
        </is>
      </c>
    </row>
    <row r="91">
      <c r="A91" t="inlineStr">
        <is>
          <t>ORD0090</t>
        </is>
      </c>
      <c r="B91" t="inlineStr">
        <is>
          <t>07-02-2026</t>
        </is>
      </c>
      <c r="C91" t="inlineStr">
        <is>
          <t>Student_90</t>
        </is>
      </c>
      <c r="D91" t="inlineStr">
        <is>
          <t>ERP_C</t>
        </is>
      </c>
      <c r="E91" t="inlineStr">
        <is>
          <t>Razorpay</t>
        </is>
      </c>
      <c r="F91" t="inlineStr">
        <is>
          <t>UPI</t>
        </is>
      </c>
      <c r="G91" t="inlineStr">
        <is>
          <t>Axis</t>
        </is>
      </c>
      <c r="H91" t="n">
        <v>19033</v>
      </c>
      <c r="I91" t="inlineStr">
        <is>
          <t>Flat</t>
        </is>
      </c>
      <c r="J91" t="n">
        <v>45</v>
      </c>
      <c r="K91" t="inlineStr">
        <is>
          <t>Flat</t>
        </is>
      </c>
      <c r="L91" t="n">
        <v>75</v>
      </c>
      <c r="M91" t="inlineStr">
        <is>
          <t>Flat</t>
        </is>
      </c>
      <c r="N91" t="n">
        <v>73</v>
      </c>
      <c r="O91" t="inlineStr">
        <is>
          <t>SUCCESS</t>
        </is>
      </c>
      <c r="P91" t="inlineStr">
        <is>
          <t>CAPTURED</t>
        </is>
      </c>
    </row>
    <row r="92">
      <c r="A92" t="inlineStr">
        <is>
          <t>ORD0091</t>
        </is>
      </c>
      <c r="B92" t="inlineStr">
        <is>
          <t>16-01-2026</t>
        </is>
      </c>
      <c r="C92" t="inlineStr">
        <is>
          <t>Student_91</t>
        </is>
      </c>
      <c r="D92" t="inlineStr">
        <is>
          <t>ERP_A</t>
        </is>
      </c>
      <c r="E92" t="inlineStr">
        <is>
          <t>PayU</t>
        </is>
      </c>
      <c r="F92" t="inlineStr">
        <is>
          <t>NetBanking</t>
        </is>
      </c>
      <c r="G92" t="inlineStr">
        <is>
          <t>SBI</t>
        </is>
      </c>
      <c r="H92" t="n">
        <v>10852</v>
      </c>
      <c r="I92" t="inlineStr">
        <is>
          <t>%</t>
        </is>
      </c>
      <c r="J92" t="n">
        <v>1.5</v>
      </c>
      <c r="K92" t="inlineStr">
        <is>
          <t>%</t>
        </is>
      </c>
      <c r="L92" t="n">
        <v>1.41</v>
      </c>
      <c r="M92" t="inlineStr">
        <is>
          <t>%</t>
        </is>
      </c>
      <c r="N92" t="n">
        <v>0.58</v>
      </c>
      <c r="O92" t="inlineStr">
        <is>
          <t>PENDING</t>
        </is>
      </c>
      <c r="P92" t="inlineStr">
        <is>
          <t>NOT_CAPTURED</t>
        </is>
      </c>
    </row>
    <row r="93">
      <c r="A93" t="inlineStr">
        <is>
          <t>ORD0092</t>
        </is>
      </c>
      <c r="B93" t="inlineStr">
        <is>
          <t>11-01-2026</t>
        </is>
      </c>
      <c r="C93" t="inlineStr">
        <is>
          <t>Student_92</t>
        </is>
      </c>
      <c r="D93" t="inlineStr">
        <is>
          <t>ERP_B</t>
        </is>
      </c>
      <c r="E93" t="inlineStr">
        <is>
          <t>PayU</t>
        </is>
      </c>
      <c r="F93" t="inlineStr">
        <is>
          <t>Card</t>
        </is>
      </c>
      <c r="G93" t="inlineStr">
        <is>
          <t>Axis</t>
        </is>
      </c>
      <c r="H93" t="n">
        <v>11615</v>
      </c>
      <c r="I93" t="inlineStr">
        <is>
          <t>%</t>
        </is>
      </c>
      <c r="J93" t="n">
        <v>1.07</v>
      </c>
      <c r="K93" t="inlineStr">
        <is>
          <t>%</t>
        </is>
      </c>
      <c r="L93" t="n">
        <v>2</v>
      </c>
      <c r="M93" t="inlineStr">
        <is>
          <t>%</t>
        </is>
      </c>
      <c r="N93" t="n">
        <v>0.68</v>
      </c>
      <c r="O93" t="inlineStr">
        <is>
          <t>SUCCESS</t>
        </is>
      </c>
      <c r="P93" t="inlineStr">
        <is>
          <t>CAPTURED</t>
        </is>
      </c>
    </row>
    <row r="94">
      <c r="A94" t="inlineStr">
        <is>
          <t>ORD0093</t>
        </is>
      </c>
      <c r="B94" t="inlineStr">
        <is>
          <t>06-02-2026</t>
        </is>
      </c>
      <c r="C94" t="inlineStr">
        <is>
          <t>Student_93</t>
        </is>
      </c>
      <c r="D94" t="inlineStr">
        <is>
          <t>ERP_B</t>
        </is>
      </c>
      <c r="E94" t="inlineStr">
        <is>
          <t>PayU</t>
        </is>
      </c>
      <c r="F94" t="inlineStr">
        <is>
          <t>Card</t>
        </is>
      </c>
      <c r="G94" t="inlineStr">
        <is>
          <t>HDFC</t>
        </is>
      </c>
      <c r="H94" t="n">
        <v>18577</v>
      </c>
      <c r="I94" t="inlineStr">
        <is>
          <t>%</t>
        </is>
      </c>
      <c r="J94" t="n">
        <v>0.91</v>
      </c>
      <c r="K94" t="inlineStr">
        <is>
          <t>Flat</t>
        </is>
      </c>
      <c r="L94" t="n">
        <v>138</v>
      </c>
      <c r="M94" t="inlineStr">
        <is>
          <t>Flat</t>
        </is>
      </c>
      <c r="N94" t="n">
        <v>68</v>
      </c>
      <c r="O94" t="inlineStr">
        <is>
          <t>FAILED</t>
        </is>
      </c>
      <c r="P94" t="inlineStr">
        <is>
          <t>NOT_CAPTURED</t>
        </is>
      </c>
    </row>
    <row r="95">
      <c r="A95" t="inlineStr">
        <is>
          <t>ORD0094</t>
        </is>
      </c>
      <c r="B95" t="inlineStr">
        <is>
          <t>08-02-2026</t>
        </is>
      </c>
      <c r="C95" t="inlineStr">
        <is>
          <t>Student_94</t>
        </is>
      </c>
      <c r="D95" t="inlineStr">
        <is>
          <t>ERP_C</t>
        </is>
      </c>
      <c r="E95" t="inlineStr">
        <is>
          <t>Razorpay</t>
        </is>
      </c>
      <c r="F95" t="inlineStr">
        <is>
          <t>UPI</t>
        </is>
      </c>
      <c r="G95" t="inlineStr">
        <is>
          <t>Axis</t>
        </is>
      </c>
      <c r="H95" t="n">
        <v>3870</v>
      </c>
      <c r="I95" t="inlineStr">
        <is>
          <t>%</t>
        </is>
      </c>
      <c r="J95" t="n">
        <v>0.87</v>
      </c>
      <c r="K95" t="inlineStr">
        <is>
          <t>Flat</t>
        </is>
      </c>
      <c r="L95" t="n">
        <v>147</v>
      </c>
      <c r="M95" t="inlineStr">
        <is>
          <t>%</t>
        </is>
      </c>
      <c r="N95" t="n">
        <v>0.91</v>
      </c>
      <c r="O95" t="inlineStr">
        <is>
          <t>FAILED</t>
        </is>
      </c>
      <c r="P95" t="inlineStr">
        <is>
          <t>NOT_CAPTURED</t>
        </is>
      </c>
    </row>
    <row r="96">
      <c r="A96" t="inlineStr">
        <is>
          <t>ORD0095</t>
        </is>
      </c>
      <c r="B96" t="inlineStr">
        <is>
          <t>17-02-2026</t>
        </is>
      </c>
      <c r="C96" t="inlineStr">
        <is>
          <t>Student_95</t>
        </is>
      </c>
      <c r="D96" t="inlineStr">
        <is>
          <t>ERP_A</t>
        </is>
      </c>
      <c r="E96" t="inlineStr">
        <is>
          <t>PayU</t>
        </is>
      </c>
      <c r="F96" t="inlineStr">
        <is>
          <t>Wallet</t>
        </is>
      </c>
      <c r="G96" t="inlineStr">
        <is>
          <t>ICICI</t>
        </is>
      </c>
      <c r="H96" t="n">
        <v>10941</v>
      </c>
      <c r="I96" t="inlineStr">
        <is>
          <t>%</t>
        </is>
      </c>
      <c r="J96" t="n">
        <v>1.23</v>
      </c>
      <c r="K96" t="inlineStr">
        <is>
          <t>%</t>
        </is>
      </c>
      <c r="L96" t="n">
        <v>1.39</v>
      </c>
      <c r="M96" t="inlineStr">
        <is>
          <t>%</t>
        </is>
      </c>
      <c r="N96" t="n">
        <v>0.75</v>
      </c>
      <c r="O96" t="inlineStr">
        <is>
          <t>PENDING</t>
        </is>
      </c>
      <c r="P96" t="inlineStr">
        <is>
          <t>NOT_CAPTURED</t>
        </is>
      </c>
    </row>
    <row r="97">
      <c r="A97" t="inlineStr">
        <is>
          <t>ORD0096</t>
        </is>
      </c>
      <c r="B97" t="inlineStr">
        <is>
          <t>11-02-2026</t>
        </is>
      </c>
      <c r="C97" t="inlineStr">
        <is>
          <t>Student_96</t>
        </is>
      </c>
      <c r="D97" t="inlineStr">
        <is>
          <t>ERP_A</t>
        </is>
      </c>
      <c r="E97" t="inlineStr">
        <is>
          <t>Cashfree</t>
        </is>
      </c>
      <c r="F97" t="inlineStr">
        <is>
          <t>Card</t>
        </is>
      </c>
      <c r="G97" t="inlineStr">
        <is>
          <t>HDFC</t>
        </is>
      </c>
      <c r="H97" t="n">
        <v>17643</v>
      </c>
      <c r="I97" t="inlineStr">
        <is>
          <t>Flat</t>
        </is>
      </c>
      <c r="J97" t="n">
        <v>73</v>
      </c>
      <c r="K97" t="inlineStr">
        <is>
          <t>%</t>
        </is>
      </c>
      <c r="L97" t="n">
        <v>1.28</v>
      </c>
      <c r="M97" t="inlineStr">
        <is>
          <t>%</t>
        </is>
      </c>
      <c r="N97" t="n">
        <v>0.64</v>
      </c>
      <c r="O97" t="inlineStr">
        <is>
          <t>SUCCESS</t>
        </is>
      </c>
      <c r="P97" t="inlineStr">
        <is>
          <t>CAPTURED</t>
        </is>
      </c>
    </row>
    <row r="98">
      <c r="A98" t="inlineStr">
        <is>
          <t>ORD0097</t>
        </is>
      </c>
      <c r="B98" t="inlineStr">
        <is>
          <t>15-01-2026</t>
        </is>
      </c>
      <c r="C98" t="inlineStr">
        <is>
          <t>Student_97</t>
        </is>
      </c>
      <c r="D98" t="inlineStr">
        <is>
          <t>ERP_B</t>
        </is>
      </c>
      <c r="E98" t="inlineStr">
        <is>
          <t>Razorpay</t>
        </is>
      </c>
      <c r="F98" t="inlineStr">
        <is>
          <t>Card</t>
        </is>
      </c>
      <c r="G98" t="inlineStr">
        <is>
          <t>Axis</t>
        </is>
      </c>
      <c r="H98" t="n">
        <v>17689</v>
      </c>
      <c r="I98" t="inlineStr">
        <is>
          <t>Flat</t>
        </is>
      </c>
      <c r="J98" t="n">
        <v>48</v>
      </c>
      <c r="K98" t="inlineStr">
        <is>
          <t>Flat</t>
        </is>
      </c>
      <c r="L98" t="n">
        <v>191</v>
      </c>
      <c r="M98" t="inlineStr">
        <is>
          <t>Flat</t>
        </is>
      </c>
      <c r="N98" t="n">
        <v>73</v>
      </c>
      <c r="O98" t="inlineStr">
        <is>
          <t>SUCCESS</t>
        </is>
      </c>
      <c r="P98" t="inlineStr">
        <is>
          <t>CAPTURED</t>
        </is>
      </c>
    </row>
    <row r="99">
      <c r="A99" t="inlineStr">
        <is>
          <t>ORD0098</t>
        </is>
      </c>
      <c r="B99" t="inlineStr">
        <is>
          <t>27-01-2026</t>
        </is>
      </c>
      <c r="C99" t="inlineStr">
        <is>
          <t>Student_98</t>
        </is>
      </c>
      <c r="D99" t="inlineStr">
        <is>
          <t>ERP_C</t>
        </is>
      </c>
      <c r="E99" t="inlineStr">
        <is>
          <t>PayU</t>
        </is>
      </c>
      <c r="F99" t="inlineStr">
        <is>
          <t>Wallet</t>
        </is>
      </c>
      <c r="G99" t="inlineStr">
        <is>
          <t>Axis</t>
        </is>
      </c>
      <c r="H99" t="n">
        <v>17258</v>
      </c>
      <c r="I99" t="inlineStr">
        <is>
          <t>%</t>
        </is>
      </c>
      <c r="J99" t="n">
        <v>1.24</v>
      </c>
      <c r="K99" t="inlineStr">
        <is>
          <t>Flat</t>
        </is>
      </c>
      <c r="L99" t="n">
        <v>149</v>
      </c>
      <c r="M99" t="inlineStr">
        <is>
          <t>Flat</t>
        </is>
      </c>
      <c r="N99" t="n">
        <v>19</v>
      </c>
      <c r="O99" t="inlineStr">
        <is>
          <t>SUCCESS</t>
        </is>
      </c>
      <c r="P99" t="inlineStr">
        <is>
          <t>CAPTURED</t>
        </is>
      </c>
    </row>
    <row r="100">
      <c r="A100" t="inlineStr">
        <is>
          <t>ORD0099</t>
        </is>
      </c>
      <c r="B100" t="inlineStr">
        <is>
          <t>27-02-2026</t>
        </is>
      </c>
      <c r="C100" t="inlineStr">
        <is>
          <t>Student_99</t>
        </is>
      </c>
      <c r="D100" t="inlineStr">
        <is>
          <t>ERP_C</t>
        </is>
      </c>
      <c r="E100" t="inlineStr">
        <is>
          <t>Razorpay</t>
        </is>
      </c>
      <c r="F100" t="inlineStr">
        <is>
          <t>Card</t>
        </is>
      </c>
      <c r="G100" t="inlineStr">
        <is>
          <t>SBI</t>
        </is>
      </c>
      <c r="H100" t="n">
        <v>10270</v>
      </c>
      <c r="I100" t="inlineStr">
        <is>
          <t>%</t>
        </is>
      </c>
      <c r="J100" t="n">
        <v>1.26</v>
      </c>
      <c r="K100" t="inlineStr">
        <is>
          <t>Flat</t>
        </is>
      </c>
      <c r="L100" t="n">
        <v>86</v>
      </c>
      <c r="M100" t="inlineStr">
        <is>
          <t>Flat</t>
        </is>
      </c>
      <c r="N100" t="n">
        <v>22</v>
      </c>
      <c r="O100" t="inlineStr">
        <is>
          <t>FAILED</t>
        </is>
      </c>
      <c r="P100" t="inlineStr">
        <is>
          <t>NOT_CAPTURED</t>
        </is>
      </c>
    </row>
    <row r="101">
      <c r="A101" t="inlineStr">
        <is>
          <t>ORD0100</t>
        </is>
      </c>
      <c r="B101" t="inlineStr">
        <is>
          <t>20-02-2026</t>
        </is>
      </c>
      <c r="C101" t="inlineStr">
        <is>
          <t>Student_100</t>
        </is>
      </c>
      <c r="D101" t="inlineStr">
        <is>
          <t>ERP_C</t>
        </is>
      </c>
      <c r="E101" t="inlineStr">
        <is>
          <t>PayU</t>
        </is>
      </c>
      <c r="F101" t="inlineStr">
        <is>
          <t>Card</t>
        </is>
      </c>
      <c r="G101" t="inlineStr">
        <is>
          <t>Axis</t>
        </is>
      </c>
      <c r="H101" t="n">
        <v>11850</v>
      </c>
      <c r="I101" t="inlineStr">
        <is>
          <t>%</t>
        </is>
      </c>
      <c r="J101" t="n">
        <v>1.06</v>
      </c>
      <c r="K101" t="inlineStr">
        <is>
          <t>%</t>
        </is>
      </c>
      <c r="L101" t="n">
        <v>1.47</v>
      </c>
      <c r="M101" t="inlineStr">
        <is>
          <t>Flat</t>
        </is>
      </c>
      <c r="N101" t="n">
        <v>37</v>
      </c>
      <c r="O101" t="inlineStr">
        <is>
          <t>FAILED</t>
        </is>
      </c>
      <c r="P101" t="inlineStr">
        <is>
          <t>NOT_CAPTURED</t>
        </is>
      </c>
    </row>
    <row r="102">
      <c r="A102" t="inlineStr">
        <is>
          <t>ORD0101</t>
        </is>
      </c>
      <c r="B102" t="inlineStr">
        <is>
          <t>11-01-2026</t>
        </is>
      </c>
      <c r="C102" t="inlineStr">
        <is>
          <t>Student_101</t>
        </is>
      </c>
      <c r="D102" t="inlineStr">
        <is>
          <t>ERP_C</t>
        </is>
      </c>
      <c r="E102" t="inlineStr">
        <is>
          <t>Razorpay</t>
        </is>
      </c>
      <c r="F102" t="inlineStr">
        <is>
          <t>NetBanking</t>
        </is>
      </c>
      <c r="G102" t="inlineStr">
        <is>
          <t>ICICI</t>
        </is>
      </c>
      <c r="H102" t="n">
        <v>19381</v>
      </c>
      <c r="I102" t="inlineStr">
        <is>
          <t>%</t>
        </is>
      </c>
      <c r="J102" t="n">
        <v>1.11</v>
      </c>
      <c r="K102" t="inlineStr">
        <is>
          <t>Flat</t>
        </is>
      </c>
      <c r="L102" t="n">
        <v>240</v>
      </c>
      <c r="M102" t="inlineStr">
        <is>
          <t>Flat</t>
        </is>
      </c>
      <c r="N102" t="n">
        <v>11</v>
      </c>
      <c r="O102" t="inlineStr">
        <is>
          <t>SUCCESS</t>
        </is>
      </c>
      <c r="P102" t="inlineStr">
        <is>
          <t>CAPTURED</t>
        </is>
      </c>
    </row>
    <row r="103">
      <c r="A103" t="inlineStr">
        <is>
          <t>ORD0102</t>
        </is>
      </c>
      <c r="B103" t="inlineStr">
        <is>
          <t>04-02-2026</t>
        </is>
      </c>
      <c r="C103" t="inlineStr">
        <is>
          <t>Student_102</t>
        </is>
      </c>
      <c r="D103" t="inlineStr">
        <is>
          <t>ERP_C</t>
        </is>
      </c>
      <c r="E103" t="inlineStr">
        <is>
          <t>Cashfree</t>
        </is>
      </c>
      <c r="F103" t="inlineStr">
        <is>
          <t>UPI</t>
        </is>
      </c>
      <c r="G103" t="inlineStr">
        <is>
          <t>ICICI</t>
        </is>
      </c>
      <c r="H103" t="n">
        <v>4659</v>
      </c>
      <c r="I103" t="inlineStr">
        <is>
          <t>Flat</t>
        </is>
      </c>
      <c r="J103" t="n">
        <v>37</v>
      </c>
      <c r="K103" t="inlineStr">
        <is>
          <t>%</t>
        </is>
      </c>
      <c r="L103" t="n">
        <v>1.37</v>
      </c>
      <c r="M103" t="inlineStr">
        <is>
          <t>%</t>
        </is>
      </c>
      <c r="N103" t="n">
        <v>0.89</v>
      </c>
      <c r="O103" t="inlineStr">
        <is>
          <t>PENDING</t>
        </is>
      </c>
      <c r="P103" t="inlineStr">
        <is>
          <t>NOT_CAPTURED</t>
        </is>
      </c>
    </row>
    <row r="104">
      <c r="A104" t="inlineStr">
        <is>
          <t>ORD0103</t>
        </is>
      </c>
      <c r="B104" t="inlineStr">
        <is>
          <t>31-01-2026</t>
        </is>
      </c>
      <c r="C104" t="inlineStr">
        <is>
          <t>Student_103</t>
        </is>
      </c>
      <c r="D104" t="inlineStr">
        <is>
          <t>ERP_B</t>
        </is>
      </c>
      <c r="E104" t="inlineStr">
        <is>
          <t>Cashfree</t>
        </is>
      </c>
      <c r="F104" t="inlineStr">
        <is>
          <t>Wallet</t>
        </is>
      </c>
      <c r="G104" t="inlineStr">
        <is>
          <t>Axis</t>
        </is>
      </c>
      <c r="H104" t="n">
        <v>12429</v>
      </c>
      <c r="I104" t="inlineStr">
        <is>
          <t>%</t>
        </is>
      </c>
      <c r="J104" t="n">
        <v>1.12</v>
      </c>
      <c r="K104" t="inlineStr">
        <is>
          <t>Flat</t>
        </is>
      </c>
      <c r="L104" t="n">
        <v>51</v>
      </c>
      <c r="M104" t="inlineStr">
        <is>
          <t>Flat</t>
        </is>
      </c>
      <c r="N104" t="n">
        <v>52</v>
      </c>
      <c r="O104" t="inlineStr">
        <is>
          <t>SUCCESS</t>
        </is>
      </c>
      <c r="P104" t="inlineStr">
        <is>
          <t>CAPTURED</t>
        </is>
      </c>
    </row>
    <row r="105">
      <c r="A105" t="inlineStr">
        <is>
          <t>ORD0104</t>
        </is>
      </c>
      <c r="B105" t="inlineStr">
        <is>
          <t>22-02-2026</t>
        </is>
      </c>
      <c r="C105" t="inlineStr">
        <is>
          <t>Student_104</t>
        </is>
      </c>
      <c r="D105" t="inlineStr">
        <is>
          <t>ERP_C</t>
        </is>
      </c>
      <c r="E105" t="inlineStr">
        <is>
          <t>Cashfree</t>
        </is>
      </c>
      <c r="F105" t="inlineStr">
        <is>
          <t>Wallet</t>
        </is>
      </c>
      <c r="G105" t="inlineStr">
        <is>
          <t>SBI</t>
        </is>
      </c>
      <c r="H105" t="n">
        <v>7153</v>
      </c>
      <c r="I105" t="inlineStr">
        <is>
          <t>Flat</t>
        </is>
      </c>
      <c r="J105" t="n">
        <v>36</v>
      </c>
      <c r="K105" t="inlineStr">
        <is>
          <t>Flat</t>
        </is>
      </c>
      <c r="L105" t="n">
        <v>232</v>
      </c>
      <c r="M105" t="inlineStr">
        <is>
          <t>Flat</t>
        </is>
      </c>
      <c r="N105" t="n">
        <v>17</v>
      </c>
      <c r="O105" t="inlineStr">
        <is>
          <t>PENDING</t>
        </is>
      </c>
      <c r="P105" t="inlineStr">
        <is>
          <t>NOT_CAPTURED</t>
        </is>
      </c>
    </row>
    <row r="106">
      <c r="A106" t="inlineStr">
        <is>
          <t>ORD0105</t>
        </is>
      </c>
      <c r="B106" t="inlineStr">
        <is>
          <t>07-02-2026</t>
        </is>
      </c>
      <c r="C106" t="inlineStr">
        <is>
          <t>Student_105</t>
        </is>
      </c>
      <c r="D106" t="inlineStr">
        <is>
          <t>ERP_B</t>
        </is>
      </c>
      <c r="E106" t="inlineStr">
        <is>
          <t>PayU</t>
        </is>
      </c>
      <c r="F106" t="inlineStr">
        <is>
          <t>Wallet</t>
        </is>
      </c>
      <c r="G106" t="inlineStr">
        <is>
          <t>SBI</t>
        </is>
      </c>
      <c r="H106" t="n">
        <v>10742</v>
      </c>
      <c r="I106" t="inlineStr">
        <is>
          <t>Flat</t>
        </is>
      </c>
      <c r="J106" t="n">
        <v>39</v>
      </c>
      <c r="K106" t="inlineStr">
        <is>
          <t>%</t>
        </is>
      </c>
      <c r="L106" t="n">
        <v>1.98</v>
      </c>
      <c r="M106" t="inlineStr">
        <is>
          <t>Flat</t>
        </is>
      </c>
      <c r="N106" t="n">
        <v>76</v>
      </c>
      <c r="O106" t="inlineStr">
        <is>
          <t>PENDING</t>
        </is>
      </c>
      <c r="P106" t="inlineStr">
        <is>
          <t>NOT_CAPTURED</t>
        </is>
      </c>
    </row>
    <row r="107">
      <c r="A107" t="inlineStr">
        <is>
          <t>ORD0106</t>
        </is>
      </c>
      <c r="B107" t="inlineStr">
        <is>
          <t>26-02-2026</t>
        </is>
      </c>
      <c r="C107" t="inlineStr">
        <is>
          <t>Student_106</t>
        </is>
      </c>
      <c r="D107" t="inlineStr">
        <is>
          <t>ERP_A</t>
        </is>
      </c>
      <c r="E107" t="inlineStr">
        <is>
          <t>PayU</t>
        </is>
      </c>
      <c r="F107" t="inlineStr">
        <is>
          <t>Card</t>
        </is>
      </c>
      <c r="G107" t="inlineStr">
        <is>
          <t>SBI</t>
        </is>
      </c>
      <c r="H107" t="n">
        <v>7147</v>
      </c>
      <c r="I107" t="inlineStr">
        <is>
          <t>%</t>
        </is>
      </c>
      <c r="J107" t="n">
        <v>1.29</v>
      </c>
      <c r="K107" t="inlineStr">
        <is>
          <t>Flat</t>
        </is>
      </c>
      <c r="L107" t="n">
        <v>161</v>
      </c>
      <c r="M107" t="inlineStr">
        <is>
          <t>Flat</t>
        </is>
      </c>
      <c r="N107" t="n">
        <v>55</v>
      </c>
      <c r="O107" t="inlineStr">
        <is>
          <t>SUCCESS</t>
        </is>
      </c>
      <c r="P107" t="inlineStr">
        <is>
          <t>CAPTURED</t>
        </is>
      </c>
    </row>
    <row r="108">
      <c r="A108" t="inlineStr">
        <is>
          <t>ORD0107</t>
        </is>
      </c>
      <c r="B108" t="inlineStr">
        <is>
          <t>15-02-2026</t>
        </is>
      </c>
      <c r="C108" t="inlineStr">
        <is>
          <t>Student_107</t>
        </is>
      </c>
      <c r="D108" t="inlineStr">
        <is>
          <t>ERP_A</t>
        </is>
      </c>
      <c r="E108" t="inlineStr">
        <is>
          <t>Cashfree</t>
        </is>
      </c>
      <c r="F108" t="inlineStr">
        <is>
          <t>Card</t>
        </is>
      </c>
      <c r="G108" t="inlineStr">
        <is>
          <t>SBI</t>
        </is>
      </c>
      <c r="H108" t="n">
        <v>7069</v>
      </c>
      <c r="I108" t="inlineStr">
        <is>
          <t>Flat</t>
        </is>
      </c>
      <c r="J108" t="n">
        <v>28</v>
      </c>
      <c r="K108" t="inlineStr">
        <is>
          <t>Flat</t>
        </is>
      </c>
      <c r="L108" t="n">
        <v>55</v>
      </c>
      <c r="M108" t="inlineStr">
        <is>
          <t>Flat</t>
        </is>
      </c>
      <c r="N108" t="n">
        <v>43</v>
      </c>
      <c r="O108" t="inlineStr">
        <is>
          <t>FAILED</t>
        </is>
      </c>
      <c r="P108" t="inlineStr">
        <is>
          <t>NOT_CAPTURED</t>
        </is>
      </c>
    </row>
    <row r="109">
      <c r="A109" t="inlineStr">
        <is>
          <t>ORD0108</t>
        </is>
      </c>
      <c r="B109" t="inlineStr">
        <is>
          <t>09-01-2026</t>
        </is>
      </c>
      <c r="C109" t="inlineStr">
        <is>
          <t>Student_108</t>
        </is>
      </c>
      <c r="D109" t="inlineStr">
        <is>
          <t>ERP_A</t>
        </is>
      </c>
      <c r="E109" t="inlineStr">
        <is>
          <t>PayU</t>
        </is>
      </c>
      <c r="F109" t="inlineStr">
        <is>
          <t>NetBanking</t>
        </is>
      </c>
      <c r="G109" t="inlineStr">
        <is>
          <t>SBI</t>
        </is>
      </c>
      <c r="H109" t="n">
        <v>7573</v>
      </c>
      <c r="I109" t="inlineStr">
        <is>
          <t>Flat</t>
        </is>
      </c>
      <c r="J109" t="n">
        <v>70</v>
      </c>
      <c r="K109" t="inlineStr">
        <is>
          <t>Flat</t>
        </is>
      </c>
      <c r="L109" t="n">
        <v>52</v>
      </c>
      <c r="M109" t="inlineStr">
        <is>
          <t>Flat</t>
        </is>
      </c>
      <c r="N109" t="n">
        <v>52</v>
      </c>
      <c r="O109" t="inlineStr">
        <is>
          <t>FAILED</t>
        </is>
      </c>
      <c r="P109" t="inlineStr">
        <is>
          <t>NOT_CAPTURED</t>
        </is>
      </c>
    </row>
    <row r="110">
      <c r="A110" t="inlineStr">
        <is>
          <t>ORD0109</t>
        </is>
      </c>
      <c r="B110" t="inlineStr">
        <is>
          <t>05-01-2026</t>
        </is>
      </c>
      <c r="C110" t="inlineStr">
        <is>
          <t>Student_109</t>
        </is>
      </c>
      <c r="D110" t="inlineStr">
        <is>
          <t>ERP_A</t>
        </is>
      </c>
      <c r="E110" t="inlineStr">
        <is>
          <t>Cashfree</t>
        </is>
      </c>
      <c r="F110" t="inlineStr">
        <is>
          <t>Wallet</t>
        </is>
      </c>
      <c r="G110" t="inlineStr">
        <is>
          <t>ICICI</t>
        </is>
      </c>
      <c r="H110" t="n">
        <v>14389</v>
      </c>
      <c r="I110" t="inlineStr">
        <is>
          <t>%</t>
        </is>
      </c>
      <c r="J110" t="n">
        <v>0.98</v>
      </c>
      <c r="K110" t="inlineStr">
        <is>
          <t>Flat</t>
        </is>
      </c>
      <c r="L110" t="n">
        <v>174</v>
      </c>
      <c r="M110" t="inlineStr">
        <is>
          <t>Flat</t>
        </is>
      </c>
      <c r="N110" t="n">
        <v>46</v>
      </c>
      <c r="O110" t="inlineStr">
        <is>
          <t>PENDING</t>
        </is>
      </c>
      <c r="P110" t="inlineStr">
        <is>
          <t>NOT_CAPTURED</t>
        </is>
      </c>
    </row>
    <row r="111">
      <c r="A111" t="inlineStr">
        <is>
          <t>ORD0110</t>
        </is>
      </c>
      <c r="B111" t="inlineStr">
        <is>
          <t>15-01-2026</t>
        </is>
      </c>
      <c r="C111" t="inlineStr">
        <is>
          <t>Student_110</t>
        </is>
      </c>
      <c r="D111" t="inlineStr">
        <is>
          <t>ERP_C</t>
        </is>
      </c>
      <c r="E111" t="inlineStr">
        <is>
          <t>PayU</t>
        </is>
      </c>
      <c r="F111" t="inlineStr">
        <is>
          <t>Card</t>
        </is>
      </c>
      <c r="G111" t="inlineStr">
        <is>
          <t>HDFC</t>
        </is>
      </c>
      <c r="H111" t="n">
        <v>15299</v>
      </c>
      <c r="I111" t="inlineStr">
        <is>
          <t>Flat</t>
        </is>
      </c>
      <c r="J111" t="n">
        <v>30</v>
      </c>
      <c r="K111" t="inlineStr">
        <is>
          <t>%</t>
        </is>
      </c>
      <c r="L111" t="n">
        <v>1.9</v>
      </c>
      <c r="M111" t="inlineStr">
        <is>
          <t>Flat</t>
        </is>
      </c>
      <c r="N111" t="n">
        <v>17</v>
      </c>
      <c r="O111" t="inlineStr">
        <is>
          <t>SUCCESS</t>
        </is>
      </c>
      <c r="P111" t="inlineStr">
        <is>
          <t>CAPTURED</t>
        </is>
      </c>
    </row>
    <row r="112">
      <c r="A112" t="inlineStr">
        <is>
          <t>ORD0111</t>
        </is>
      </c>
      <c r="B112" t="inlineStr">
        <is>
          <t>10-01-2026</t>
        </is>
      </c>
      <c r="C112" t="inlineStr">
        <is>
          <t>Student_111</t>
        </is>
      </c>
      <c r="D112" t="inlineStr">
        <is>
          <t>ERP_C</t>
        </is>
      </c>
      <c r="E112" t="inlineStr">
        <is>
          <t>Cashfree</t>
        </is>
      </c>
      <c r="F112" t="inlineStr">
        <is>
          <t>UPI</t>
        </is>
      </c>
      <c r="G112" t="inlineStr">
        <is>
          <t>ICICI</t>
        </is>
      </c>
      <c r="H112" t="n">
        <v>10063</v>
      </c>
      <c r="I112" t="inlineStr">
        <is>
          <t>%</t>
        </is>
      </c>
      <c r="J112" t="n">
        <v>1.4</v>
      </c>
      <c r="K112" t="inlineStr">
        <is>
          <t>Flat</t>
        </is>
      </c>
      <c r="L112" t="n">
        <v>212</v>
      </c>
      <c r="M112" t="inlineStr">
        <is>
          <t>%</t>
        </is>
      </c>
      <c r="N112" t="n">
        <v>0.52</v>
      </c>
      <c r="O112" t="inlineStr">
        <is>
          <t>SUCCESS</t>
        </is>
      </c>
      <c r="P112" t="inlineStr">
        <is>
          <t>CAPTURED</t>
        </is>
      </c>
    </row>
    <row r="113">
      <c r="A113" t="inlineStr">
        <is>
          <t>ORD0112</t>
        </is>
      </c>
      <c r="B113" t="inlineStr">
        <is>
          <t>22-02-2026</t>
        </is>
      </c>
      <c r="C113" t="inlineStr">
        <is>
          <t>Student_112</t>
        </is>
      </c>
      <c r="D113" t="inlineStr">
        <is>
          <t>ERP_C</t>
        </is>
      </c>
      <c r="E113" t="inlineStr">
        <is>
          <t>Razorpay</t>
        </is>
      </c>
      <c r="F113" t="inlineStr">
        <is>
          <t>Wallet</t>
        </is>
      </c>
      <c r="G113" t="inlineStr">
        <is>
          <t>Axis</t>
        </is>
      </c>
      <c r="H113" t="n">
        <v>9187</v>
      </c>
      <c r="I113" t="inlineStr">
        <is>
          <t>%</t>
        </is>
      </c>
      <c r="J113" t="n">
        <v>0.9</v>
      </c>
      <c r="K113" t="inlineStr">
        <is>
          <t>%</t>
        </is>
      </c>
      <c r="L113" t="n">
        <v>1.77</v>
      </c>
      <c r="M113" t="inlineStr">
        <is>
          <t>Flat</t>
        </is>
      </c>
      <c r="N113" t="n">
        <v>34</v>
      </c>
      <c r="O113" t="inlineStr">
        <is>
          <t>SUCCESS</t>
        </is>
      </c>
      <c r="P113" t="inlineStr">
        <is>
          <t>CAPTURED</t>
        </is>
      </c>
    </row>
    <row r="114">
      <c r="A114" t="inlineStr">
        <is>
          <t>ORD0113</t>
        </is>
      </c>
      <c r="B114" t="inlineStr">
        <is>
          <t>02-01-2026</t>
        </is>
      </c>
      <c r="C114" t="inlineStr">
        <is>
          <t>Student_113</t>
        </is>
      </c>
      <c r="D114" t="inlineStr">
        <is>
          <t>ERP_B</t>
        </is>
      </c>
      <c r="E114" t="inlineStr">
        <is>
          <t>Cashfree</t>
        </is>
      </c>
      <c r="F114" t="inlineStr">
        <is>
          <t>NetBanking</t>
        </is>
      </c>
      <c r="G114" t="inlineStr">
        <is>
          <t>HDFC</t>
        </is>
      </c>
      <c r="H114" t="n">
        <v>5789</v>
      </c>
      <c r="I114" t="inlineStr">
        <is>
          <t>Flat</t>
        </is>
      </c>
      <c r="J114" t="n">
        <v>33</v>
      </c>
      <c r="K114" t="inlineStr">
        <is>
          <t>%</t>
        </is>
      </c>
      <c r="L114" t="n">
        <v>1.68</v>
      </c>
      <c r="M114" t="inlineStr">
        <is>
          <t>%</t>
        </is>
      </c>
      <c r="N114" t="n">
        <v>0.68</v>
      </c>
      <c r="O114" t="inlineStr">
        <is>
          <t>PENDING</t>
        </is>
      </c>
      <c r="P114" t="inlineStr">
        <is>
          <t>NOT_CAPTURED</t>
        </is>
      </c>
    </row>
    <row r="115">
      <c r="A115" t="inlineStr">
        <is>
          <t>ORD0114</t>
        </is>
      </c>
      <c r="B115" t="inlineStr">
        <is>
          <t>22-02-2026</t>
        </is>
      </c>
      <c r="C115" t="inlineStr">
        <is>
          <t>Student_114</t>
        </is>
      </c>
      <c r="D115" t="inlineStr">
        <is>
          <t>ERP_A</t>
        </is>
      </c>
      <c r="E115" t="inlineStr">
        <is>
          <t>Cashfree</t>
        </is>
      </c>
      <c r="F115" t="inlineStr">
        <is>
          <t>Card</t>
        </is>
      </c>
      <c r="G115" t="inlineStr">
        <is>
          <t>Axis</t>
        </is>
      </c>
      <c r="H115" t="n">
        <v>7481</v>
      </c>
      <c r="I115" t="inlineStr">
        <is>
          <t>%</t>
        </is>
      </c>
      <c r="J115" t="n">
        <v>1.11</v>
      </c>
      <c r="K115" t="inlineStr">
        <is>
          <t>Flat</t>
        </is>
      </c>
      <c r="L115" t="n">
        <v>100</v>
      </c>
      <c r="M115" t="inlineStr">
        <is>
          <t>%</t>
        </is>
      </c>
      <c r="N115" t="n">
        <v>0.89</v>
      </c>
      <c r="O115" t="inlineStr">
        <is>
          <t>PENDING</t>
        </is>
      </c>
      <c r="P115" t="inlineStr">
        <is>
          <t>NOT_CAPTURED</t>
        </is>
      </c>
    </row>
    <row r="116">
      <c r="A116" t="inlineStr">
        <is>
          <t>ORD0115</t>
        </is>
      </c>
      <c r="B116" t="inlineStr">
        <is>
          <t>17-02-2026</t>
        </is>
      </c>
      <c r="C116" t="inlineStr">
        <is>
          <t>Student_115</t>
        </is>
      </c>
      <c r="D116" t="inlineStr">
        <is>
          <t>ERP_B</t>
        </is>
      </c>
      <c r="E116" t="inlineStr">
        <is>
          <t>PayU</t>
        </is>
      </c>
      <c r="F116" t="inlineStr">
        <is>
          <t>Card</t>
        </is>
      </c>
      <c r="G116" t="inlineStr">
        <is>
          <t>HDFC</t>
        </is>
      </c>
      <c r="H116" t="n">
        <v>7234</v>
      </c>
      <c r="I116" t="inlineStr">
        <is>
          <t>Flat</t>
        </is>
      </c>
      <c r="J116" t="n">
        <v>55</v>
      </c>
      <c r="K116" t="inlineStr">
        <is>
          <t>Flat</t>
        </is>
      </c>
      <c r="L116" t="n">
        <v>189</v>
      </c>
      <c r="M116" t="inlineStr">
        <is>
          <t>Flat</t>
        </is>
      </c>
      <c r="N116" t="n">
        <v>43</v>
      </c>
      <c r="O116" t="inlineStr">
        <is>
          <t>SUCCESS</t>
        </is>
      </c>
      <c r="P116" t="inlineStr">
        <is>
          <t>CAPTURED</t>
        </is>
      </c>
    </row>
    <row r="117">
      <c r="A117" t="inlineStr">
        <is>
          <t>ORD0116</t>
        </is>
      </c>
      <c r="B117" t="inlineStr">
        <is>
          <t>16-02-2026</t>
        </is>
      </c>
      <c r="C117" t="inlineStr">
        <is>
          <t>Student_116</t>
        </is>
      </c>
      <c r="D117" t="inlineStr">
        <is>
          <t>ERP_C</t>
        </is>
      </c>
      <c r="E117" t="inlineStr">
        <is>
          <t>Cashfree</t>
        </is>
      </c>
      <c r="F117" t="inlineStr">
        <is>
          <t>UPI</t>
        </is>
      </c>
      <c r="G117" t="inlineStr">
        <is>
          <t>HDFC</t>
        </is>
      </c>
      <c r="H117" t="n">
        <v>8836</v>
      </c>
      <c r="I117" t="inlineStr">
        <is>
          <t>Flat</t>
        </is>
      </c>
      <c r="J117" t="n">
        <v>54</v>
      </c>
      <c r="K117" t="inlineStr">
        <is>
          <t>%</t>
        </is>
      </c>
      <c r="L117" t="n">
        <v>1.52</v>
      </c>
      <c r="M117" t="inlineStr">
        <is>
          <t>%</t>
        </is>
      </c>
      <c r="N117" t="n">
        <v>0.5600000000000001</v>
      </c>
      <c r="O117" t="inlineStr">
        <is>
          <t>PENDING</t>
        </is>
      </c>
      <c r="P117" t="inlineStr">
        <is>
          <t>NOT_CAPTURED</t>
        </is>
      </c>
    </row>
    <row r="118">
      <c r="A118" t="inlineStr">
        <is>
          <t>ORD0117</t>
        </is>
      </c>
      <c r="B118" t="inlineStr">
        <is>
          <t>22-01-2026</t>
        </is>
      </c>
      <c r="C118" t="inlineStr">
        <is>
          <t>Student_117</t>
        </is>
      </c>
      <c r="D118" t="inlineStr">
        <is>
          <t>ERP_A</t>
        </is>
      </c>
      <c r="E118" t="inlineStr">
        <is>
          <t>Razorpay</t>
        </is>
      </c>
      <c r="F118" t="inlineStr">
        <is>
          <t>NetBanking</t>
        </is>
      </c>
      <c r="G118" t="inlineStr">
        <is>
          <t>HDFC</t>
        </is>
      </c>
      <c r="H118" t="n">
        <v>7673</v>
      </c>
      <c r="I118" t="inlineStr">
        <is>
          <t>Flat</t>
        </is>
      </c>
      <c r="J118" t="n">
        <v>78</v>
      </c>
      <c r="K118" t="inlineStr">
        <is>
          <t>Flat</t>
        </is>
      </c>
      <c r="L118" t="n">
        <v>243</v>
      </c>
      <c r="M118" t="inlineStr">
        <is>
          <t>%</t>
        </is>
      </c>
      <c r="N118" t="n">
        <v>1</v>
      </c>
      <c r="O118" t="inlineStr">
        <is>
          <t>SUCCESS</t>
        </is>
      </c>
      <c r="P118" t="inlineStr">
        <is>
          <t>CAPTURED</t>
        </is>
      </c>
    </row>
    <row r="119">
      <c r="A119" t="inlineStr">
        <is>
          <t>ORD0118</t>
        </is>
      </c>
      <c r="B119" t="inlineStr">
        <is>
          <t>22-02-2026</t>
        </is>
      </c>
      <c r="C119" t="inlineStr">
        <is>
          <t>Student_118</t>
        </is>
      </c>
      <c r="D119" t="inlineStr">
        <is>
          <t>ERP_A</t>
        </is>
      </c>
      <c r="E119" t="inlineStr">
        <is>
          <t>PayU</t>
        </is>
      </c>
      <c r="F119" t="inlineStr">
        <is>
          <t>UPI</t>
        </is>
      </c>
      <c r="G119" t="inlineStr">
        <is>
          <t>ICICI</t>
        </is>
      </c>
      <c r="H119" t="n">
        <v>8539</v>
      </c>
      <c r="I119" t="inlineStr">
        <is>
          <t>Flat</t>
        </is>
      </c>
      <c r="J119" t="n">
        <v>86</v>
      </c>
      <c r="K119" t="inlineStr">
        <is>
          <t>%</t>
        </is>
      </c>
      <c r="L119" t="n">
        <v>1.32</v>
      </c>
      <c r="M119" t="inlineStr">
        <is>
          <t>Flat</t>
        </is>
      </c>
      <c r="N119" t="n">
        <v>27</v>
      </c>
      <c r="O119" t="inlineStr">
        <is>
          <t>PENDING</t>
        </is>
      </c>
      <c r="P119" t="inlineStr">
        <is>
          <t>NOT_CAPTURED</t>
        </is>
      </c>
    </row>
    <row r="120">
      <c r="A120" t="inlineStr">
        <is>
          <t>ORD0119</t>
        </is>
      </c>
      <c r="B120" t="inlineStr">
        <is>
          <t>25-01-2026</t>
        </is>
      </c>
      <c r="C120" t="inlineStr">
        <is>
          <t>Student_119</t>
        </is>
      </c>
      <c r="D120" t="inlineStr">
        <is>
          <t>ERP_A</t>
        </is>
      </c>
      <c r="E120" t="inlineStr">
        <is>
          <t>Cashfree</t>
        </is>
      </c>
      <c r="F120" t="inlineStr">
        <is>
          <t>UPI</t>
        </is>
      </c>
      <c r="G120" t="inlineStr">
        <is>
          <t>Axis</t>
        </is>
      </c>
      <c r="H120" t="n">
        <v>8435</v>
      </c>
      <c r="I120" t="inlineStr">
        <is>
          <t>%</t>
        </is>
      </c>
      <c r="J120" t="n">
        <v>1.14</v>
      </c>
      <c r="K120" t="inlineStr">
        <is>
          <t>Flat</t>
        </is>
      </c>
      <c r="L120" t="n">
        <v>202</v>
      </c>
      <c r="M120" t="inlineStr">
        <is>
          <t>Flat</t>
        </is>
      </c>
      <c r="N120" t="n">
        <v>44</v>
      </c>
      <c r="O120" t="inlineStr">
        <is>
          <t>FAILED</t>
        </is>
      </c>
      <c r="P120" t="inlineStr">
        <is>
          <t>NOT_CAPTURED</t>
        </is>
      </c>
    </row>
    <row r="121">
      <c r="A121" t="inlineStr">
        <is>
          <t>ORD0120</t>
        </is>
      </c>
      <c r="B121" t="inlineStr">
        <is>
          <t>24-02-2026</t>
        </is>
      </c>
      <c r="C121" t="inlineStr">
        <is>
          <t>Student_120</t>
        </is>
      </c>
      <c r="D121" t="inlineStr">
        <is>
          <t>ERP_B</t>
        </is>
      </c>
      <c r="E121" t="inlineStr">
        <is>
          <t>PayU</t>
        </is>
      </c>
      <c r="F121" t="inlineStr">
        <is>
          <t>NetBanking</t>
        </is>
      </c>
      <c r="G121" t="inlineStr">
        <is>
          <t>Axis</t>
        </is>
      </c>
      <c r="H121" t="n">
        <v>12804</v>
      </c>
      <c r="I121" t="inlineStr">
        <is>
          <t>Flat</t>
        </is>
      </c>
      <c r="J121" t="n">
        <v>76</v>
      </c>
      <c r="K121" t="inlineStr">
        <is>
          <t>Flat</t>
        </is>
      </c>
      <c r="L121" t="n">
        <v>235</v>
      </c>
      <c r="M121" t="inlineStr">
        <is>
          <t>%</t>
        </is>
      </c>
      <c r="N121" t="n">
        <v>0.99</v>
      </c>
      <c r="O121" t="inlineStr">
        <is>
          <t>FAILED</t>
        </is>
      </c>
      <c r="P121" t="inlineStr">
        <is>
          <t>NOT_CAPTURED</t>
        </is>
      </c>
    </row>
    <row r="122">
      <c r="A122" t="inlineStr">
        <is>
          <t>ORD0121</t>
        </is>
      </c>
      <c r="B122" t="inlineStr">
        <is>
          <t>27-01-2026</t>
        </is>
      </c>
      <c r="C122" t="inlineStr">
        <is>
          <t>Student_121</t>
        </is>
      </c>
      <c r="D122" t="inlineStr">
        <is>
          <t>ERP_A</t>
        </is>
      </c>
      <c r="E122" t="inlineStr">
        <is>
          <t>PayU</t>
        </is>
      </c>
      <c r="F122" t="inlineStr">
        <is>
          <t>UPI</t>
        </is>
      </c>
      <c r="G122" t="inlineStr">
        <is>
          <t>ICICI</t>
        </is>
      </c>
      <c r="H122" t="n">
        <v>5500</v>
      </c>
      <c r="I122" t="inlineStr">
        <is>
          <t>%</t>
        </is>
      </c>
      <c r="J122" t="n">
        <v>1.14</v>
      </c>
      <c r="K122" t="inlineStr">
        <is>
          <t>Flat</t>
        </is>
      </c>
      <c r="L122" t="n">
        <v>201</v>
      </c>
      <c r="M122" t="inlineStr">
        <is>
          <t>%</t>
        </is>
      </c>
      <c r="N122" t="n">
        <v>0.62</v>
      </c>
      <c r="O122" t="inlineStr">
        <is>
          <t>PENDING</t>
        </is>
      </c>
      <c r="P122" t="inlineStr">
        <is>
          <t>NOT_CAPTURED</t>
        </is>
      </c>
    </row>
    <row r="123">
      <c r="A123" t="inlineStr">
        <is>
          <t>ORD0122</t>
        </is>
      </c>
      <c r="B123" t="inlineStr">
        <is>
          <t>17-01-2026</t>
        </is>
      </c>
      <c r="C123" t="inlineStr">
        <is>
          <t>Student_122</t>
        </is>
      </c>
      <c r="D123" t="inlineStr">
        <is>
          <t>ERP_B</t>
        </is>
      </c>
      <c r="E123" t="inlineStr">
        <is>
          <t>Cashfree</t>
        </is>
      </c>
      <c r="F123" t="inlineStr">
        <is>
          <t>Wallet</t>
        </is>
      </c>
      <c r="G123" t="inlineStr">
        <is>
          <t>HDFC</t>
        </is>
      </c>
      <c r="H123" t="n">
        <v>17142</v>
      </c>
      <c r="I123" t="inlineStr">
        <is>
          <t>%</t>
        </is>
      </c>
      <c r="J123" t="n">
        <v>1.25</v>
      </c>
      <c r="K123" t="inlineStr">
        <is>
          <t>Flat</t>
        </is>
      </c>
      <c r="L123" t="n">
        <v>198</v>
      </c>
      <c r="M123" t="inlineStr">
        <is>
          <t>Flat</t>
        </is>
      </c>
      <c r="N123" t="n">
        <v>40</v>
      </c>
      <c r="O123" t="inlineStr">
        <is>
          <t>FAILED</t>
        </is>
      </c>
      <c r="P123" t="inlineStr">
        <is>
          <t>NOT_CAPTURED</t>
        </is>
      </c>
    </row>
    <row r="124">
      <c r="A124" t="inlineStr">
        <is>
          <t>ORD0123</t>
        </is>
      </c>
      <c r="B124" t="inlineStr">
        <is>
          <t>09-01-2026</t>
        </is>
      </c>
      <c r="C124" t="inlineStr">
        <is>
          <t>Student_123</t>
        </is>
      </c>
      <c r="D124" t="inlineStr">
        <is>
          <t>ERP_A</t>
        </is>
      </c>
      <c r="E124" t="inlineStr">
        <is>
          <t>Cashfree</t>
        </is>
      </c>
      <c r="F124" t="inlineStr">
        <is>
          <t>Card</t>
        </is>
      </c>
      <c r="G124" t="inlineStr">
        <is>
          <t>HDFC</t>
        </is>
      </c>
      <c r="H124" t="n">
        <v>8451</v>
      </c>
      <c r="I124" t="inlineStr">
        <is>
          <t>%</t>
        </is>
      </c>
      <c r="J124" t="n">
        <v>1.4</v>
      </c>
      <c r="K124" t="inlineStr">
        <is>
          <t>%</t>
        </is>
      </c>
      <c r="L124" t="n">
        <v>1.81</v>
      </c>
      <c r="M124" t="inlineStr">
        <is>
          <t>%</t>
        </is>
      </c>
      <c r="N124" t="n">
        <v>0.65</v>
      </c>
      <c r="O124" t="inlineStr">
        <is>
          <t>FAILED</t>
        </is>
      </c>
      <c r="P124" t="inlineStr">
        <is>
          <t>NOT_CAPTURED</t>
        </is>
      </c>
    </row>
    <row r="125">
      <c r="A125" t="inlineStr">
        <is>
          <t>ORD0124</t>
        </is>
      </c>
      <c r="B125" t="inlineStr">
        <is>
          <t>14-01-2026</t>
        </is>
      </c>
      <c r="C125" t="inlineStr">
        <is>
          <t>Student_124</t>
        </is>
      </c>
      <c r="D125" t="inlineStr">
        <is>
          <t>ERP_A</t>
        </is>
      </c>
      <c r="E125" t="inlineStr">
        <is>
          <t>PayU</t>
        </is>
      </c>
      <c r="F125" t="inlineStr">
        <is>
          <t>Card</t>
        </is>
      </c>
      <c r="G125" t="inlineStr">
        <is>
          <t>HDFC</t>
        </is>
      </c>
      <c r="H125" t="n">
        <v>14427</v>
      </c>
      <c r="I125" t="inlineStr">
        <is>
          <t>%</t>
        </is>
      </c>
      <c r="J125" t="n">
        <v>1.48</v>
      </c>
      <c r="K125" t="inlineStr">
        <is>
          <t>%</t>
        </is>
      </c>
      <c r="L125" t="n">
        <v>1.89</v>
      </c>
      <c r="M125" t="inlineStr">
        <is>
          <t>%</t>
        </is>
      </c>
      <c r="N125" t="n">
        <v>0.5600000000000001</v>
      </c>
      <c r="O125" t="inlineStr">
        <is>
          <t>PENDING</t>
        </is>
      </c>
      <c r="P125" t="inlineStr">
        <is>
          <t>NOT_CAPTURED</t>
        </is>
      </c>
    </row>
    <row r="126">
      <c r="A126" t="inlineStr">
        <is>
          <t>ORD0125</t>
        </is>
      </c>
      <c r="B126" t="inlineStr">
        <is>
          <t>05-02-2026</t>
        </is>
      </c>
      <c r="C126" t="inlineStr">
        <is>
          <t>Student_125</t>
        </is>
      </c>
      <c r="D126" t="inlineStr">
        <is>
          <t>ERP_A</t>
        </is>
      </c>
      <c r="E126" t="inlineStr">
        <is>
          <t>Razorpay</t>
        </is>
      </c>
      <c r="F126" t="inlineStr">
        <is>
          <t>Card</t>
        </is>
      </c>
      <c r="G126" t="inlineStr">
        <is>
          <t>SBI</t>
        </is>
      </c>
      <c r="H126" t="n">
        <v>4326</v>
      </c>
      <c r="I126" t="inlineStr">
        <is>
          <t>Flat</t>
        </is>
      </c>
      <c r="J126" t="n">
        <v>56</v>
      </c>
      <c r="K126" t="inlineStr">
        <is>
          <t>%</t>
        </is>
      </c>
      <c r="L126" t="n">
        <v>1.42</v>
      </c>
      <c r="M126" t="inlineStr">
        <is>
          <t>Flat</t>
        </is>
      </c>
      <c r="N126" t="n">
        <v>79</v>
      </c>
      <c r="O126" t="inlineStr">
        <is>
          <t>FAILED</t>
        </is>
      </c>
      <c r="P126" t="inlineStr">
        <is>
          <t>NOT_CAPTURED</t>
        </is>
      </c>
    </row>
    <row r="127">
      <c r="A127" t="inlineStr">
        <is>
          <t>ORD0126</t>
        </is>
      </c>
      <c r="B127" t="inlineStr">
        <is>
          <t>20-01-2026</t>
        </is>
      </c>
      <c r="C127" t="inlineStr">
        <is>
          <t>Student_126</t>
        </is>
      </c>
      <c r="D127" t="inlineStr">
        <is>
          <t>ERP_A</t>
        </is>
      </c>
      <c r="E127" t="inlineStr">
        <is>
          <t>Cashfree</t>
        </is>
      </c>
      <c r="F127" t="inlineStr">
        <is>
          <t>Card</t>
        </is>
      </c>
      <c r="G127" t="inlineStr">
        <is>
          <t>Axis</t>
        </is>
      </c>
      <c r="H127" t="n">
        <v>18652</v>
      </c>
      <c r="I127" t="inlineStr">
        <is>
          <t>Flat</t>
        </is>
      </c>
      <c r="J127" t="n">
        <v>82</v>
      </c>
      <c r="K127" t="inlineStr">
        <is>
          <t>Flat</t>
        </is>
      </c>
      <c r="L127" t="n">
        <v>54</v>
      </c>
      <c r="M127" t="inlineStr">
        <is>
          <t>%</t>
        </is>
      </c>
      <c r="N127" t="n">
        <v>0.89</v>
      </c>
      <c r="O127" t="inlineStr">
        <is>
          <t>SUCCESS</t>
        </is>
      </c>
      <c r="P127" t="inlineStr">
        <is>
          <t>CAPTURED</t>
        </is>
      </c>
    </row>
    <row r="128">
      <c r="A128" t="inlineStr">
        <is>
          <t>ORD0127</t>
        </is>
      </c>
      <c r="B128" t="inlineStr">
        <is>
          <t>01-01-2026</t>
        </is>
      </c>
      <c r="C128" t="inlineStr">
        <is>
          <t>Student_127</t>
        </is>
      </c>
      <c r="D128" t="inlineStr">
        <is>
          <t>ERP_C</t>
        </is>
      </c>
      <c r="E128" t="inlineStr">
        <is>
          <t>PayU</t>
        </is>
      </c>
      <c r="F128" t="inlineStr">
        <is>
          <t>Card</t>
        </is>
      </c>
      <c r="G128" t="inlineStr">
        <is>
          <t>Axis</t>
        </is>
      </c>
      <c r="H128" t="n">
        <v>9219</v>
      </c>
      <c r="I128" t="inlineStr">
        <is>
          <t>Flat</t>
        </is>
      </c>
      <c r="J128" t="n">
        <v>35</v>
      </c>
      <c r="K128" t="inlineStr">
        <is>
          <t>Flat</t>
        </is>
      </c>
      <c r="L128" t="n">
        <v>88</v>
      </c>
      <c r="M128" t="inlineStr">
        <is>
          <t>%</t>
        </is>
      </c>
      <c r="N128" t="n">
        <v>0.77</v>
      </c>
      <c r="O128" t="inlineStr">
        <is>
          <t>SUCCESS</t>
        </is>
      </c>
      <c r="P128" t="inlineStr">
        <is>
          <t>CAPTURED</t>
        </is>
      </c>
    </row>
    <row r="129">
      <c r="A129" t="inlineStr">
        <is>
          <t>ORD0128</t>
        </is>
      </c>
      <c r="B129" t="inlineStr">
        <is>
          <t>30-01-2026</t>
        </is>
      </c>
      <c r="C129" t="inlineStr">
        <is>
          <t>Student_128</t>
        </is>
      </c>
      <c r="D129" t="inlineStr">
        <is>
          <t>ERP_C</t>
        </is>
      </c>
      <c r="E129" t="inlineStr">
        <is>
          <t>Razorpay</t>
        </is>
      </c>
      <c r="F129" t="inlineStr">
        <is>
          <t>Card</t>
        </is>
      </c>
      <c r="G129" t="inlineStr">
        <is>
          <t>HDFC</t>
        </is>
      </c>
      <c r="H129" t="n">
        <v>2479</v>
      </c>
      <c r="I129" t="inlineStr">
        <is>
          <t>Flat</t>
        </is>
      </c>
      <c r="J129" t="n">
        <v>25</v>
      </c>
      <c r="K129" t="inlineStr">
        <is>
          <t>Flat</t>
        </is>
      </c>
      <c r="L129" t="n">
        <v>84</v>
      </c>
      <c r="M129" t="inlineStr">
        <is>
          <t>%</t>
        </is>
      </c>
      <c r="N129" t="n">
        <v>0.55</v>
      </c>
      <c r="O129" t="inlineStr">
        <is>
          <t>PENDING</t>
        </is>
      </c>
      <c r="P129" t="inlineStr">
        <is>
          <t>NOT_CAPTURED</t>
        </is>
      </c>
    </row>
    <row r="130">
      <c r="A130" t="inlineStr">
        <is>
          <t>ORD0129</t>
        </is>
      </c>
      <c r="B130" t="inlineStr">
        <is>
          <t>13-02-2026</t>
        </is>
      </c>
      <c r="C130" t="inlineStr">
        <is>
          <t>Student_129</t>
        </is>
      </c>
      <c r="D130" t="inlineStr">
        <is>
          <t>ERP_A</t>
        </is>
      </c>
      <c r="E130" t="inlineStr">
        <is>
          <t>PayU</t>
        </is>
      </c>
      <c r="F130" t="inlineStr">
        <is>
          <t>Wallet</t>
        </is>
      </c>
      <c r="G130" t="inlineStr">
        <is>
          <t>Axis</t>
        </is>
      </c>
      <c r="H130" t="n">
        <v>14380</v>
      </c>
      <c r="I130" t="inlineStr">
        <is>
          <t>Flat</t>
        </is>
      </c>
      <c r="J130" t="n">
        <v>77</v>
      </c>
      <c r="K130" t="inlineStr">
        <is>
          <t>Flat</t>
        </is>
      </c>
      <c r="L130" t="n">
        <v>236</v>
      </c>
      <c r="M130" t="inlineStr">
        <is>
          <t>%</t>
        </is>
      </c>
      <c r="N130" t="n">
        <v>0.79</v>
      </c>
      <c r="O130" t="inlineStr">
        <is>
          <t>FAILED</t>
        </is>
      </c>
      <c r="P130" t="inlineStr">
        <is>
          <t>NOT_CAPTURED</t>
        </is>
      </c>
    </row>
    <row r="131">
      <c r="A131" t="inlineStr">
        <is>
          <t>ORD0130</t>
        </is>
      </c>
      <c r="B131" t="inlineStr">
        <is>
          <t>15-01-2026</t>
        </is>
      </c>
      <c r="C131" t="inlineStr">
        <is>
          <t>Student_130</t>
        </is>
      </c>
      <c r="D131" t="inlineStr">
        <is>
          <t>ERP_C</t>
        </is>
      </c>
      <c r="E131" t="inlineStr">
        <is>
          <t>Cashfree</t>
        </is>
      </c>
      <c r="F131" t="inlineStr">
        <is>
          <t>NetBanking</t>
        </is>
      </c>
      <c r="G131" t="inlineStr">
        <is>
          <t>Axis</t>
        </is>
      </c>
      <c r="H131" t="n">
        <v>14927</v>
      </c>
      <c r="I131" t="inlineStr">
        <is>
          <t>%</t>
        </is>
      </c>
      <c r="J131" t="n">
        <v>1.41</v>
      </c>
      <c r="K131" t="inlineStr">
        <is>
          <t>Flat</t>
        </is>
      </c>
      <c r="L131" t="n">
        <v>138</v>
      </c>
      <c r="M131" t="inlineStr">
        <is>
          <t>%</t>
        </is>
      </c>
      <c r="N131" t="n">
        <v>0.7</v>
      </c>
      <c r="O131" t="inlineStr">
        <is>
          <t>SUCCESS</t>
        </is>
      </c>
      <c r="P131" t="inlineStr">
        <is>
          <t>CAPTURED</t>
        </is>
      </c>
    </row>
    <row r="132">
      <c r="A132" t="inlineStr">
        <is>
          <t>ORD0131</t>
        </is>
      </c>
      <c r="B132" t="inlineStr">
        <is>
          <t>05-01-2026</t>
        </is>
      </c>
      <c r="C132" t="inlineStr">
        <is>
          <t>Student_131</t>
        </is>
      </c>
      <c r="D132" t="inlineStr">
        <is>
          <t>ERP_C</t>
        </is>
      </c>
      <c r="E132" t="inlineStr">
        <is>
          <t>Razorpay</t>
        </is>
      </c>
      <c r="F132" t="inlineStr">
        <is>
          <t>NetBanking</t>
        </is>
      </c>
      <c r="G132" t="inlineStr">
        <is>
          <t>ICICI</t>
        </is>
      </c>
      <c r="H132" t="n">
        <v>1917</v>
      </c>
      <c r="I132" t="inlineStr">
        <is>
          <t>%</t>
        </is>
      </c>
      <c r="J132" t="n">
        <v>1.38</v>
      </c>
      <c r="K132" t="inlineStr">
        <is>
          <t>%</t>
        </is>
      </c>
      <c r="L132" t="n">
        <v>2</v>
      </c>
      <c r="M132" t="inlineStr">
        <is>
          <t>%</t>
        </is>
      </c>
      <c r="N132" t="n">
        <v>0.85</v>
      </c>
      <c r="O132" t="inlineStr">
        <is>
          <t>SUCCESS</t>
        </is>
      </c>
      <c r="P132" t="inlineStr">
        <is>
          <t>CAPTURED</t>
        </is>
      </c>
    </row>
    <row r="133">
      <c r="A133" t="inlineStr">
        <is>
          <t>ORD0132</t>
        </is>
      </c>
      <c r="B133" t="inlineStr">
        <is>
          <t>09-01-2026</t>
        </is>
      </c>
      <c r="C133" t="inlineStr">
        <is>
          <t>Student_132</t>
        </is>
      </c>
      <c r="D133" t="inlineStr">
        <is>
          <t>ERP_B</t>
        </is>
      </c>
      <c r="E133" t="inlineStr">
        <is>
          <t>Cashfree</t>
        </is>
      </c>
      <c r="F133" t="inlineStr">
        <is>
          <t>NetBanking</t>
        </is>
      </c>
      <c r="G133" t="inlineStr">
        <is>
          <t>HDFC</t>
        </is>
      </c>
      <c r="H133" t="n">
        <v>11826</v>
      </c>
      <c r="I133" t="inlineStr">
        <is>
          <t>Flat</t>
        </is>
      </c>
      <c r="J133" t="n">
        <v>23</v>
      </c>
      <c r="K133" t="inlineStr">
        <is>
          <t>Flat</t>
        </is>
      </c>
      <c r="L133" t="n">
        <v>64</v>
      </c>
      <c r="M133" t="inlineStr">
        <is>
          <t>Flat</t>
        </is>
      </c>
      <c r="N133" t="n">
        <v>47</v>
      </c>
      <c r="O133" t="inlineStr">
        <is>
          <t>FAILED</t>
        </is>
      </c>
      <c r="P133" t="inlineStr">
        <is>
          <t>NOT_CAPTURED</t>
        </is>
      </c>
    </row>
    <row r="134">
      <c r="A134" t="inlineStr">
        <is>
          <t>ORD0133</t>
        </is>
      </c>
      <c r="B134" t="inlineStr">
        <is>
          <t>20-01-2026</t>
        </is>
      </c>
      <c r="C134" t="inlineStr">
        <is>
          <t>Student_133</t>
        </is>
      </c>
      <c r="D134" t="inlineStr">
        <is>
          <t>ERP_B</t>
        </is>
      </c>
      <c r="E134" t="inlineStr">
        <is>
          <t>Cashfree</t>
        </is>
      </c>
      <c r="F134" t="inlineStr">
        <is>
          <t>UPI</t>
        </is>
      </c>
      <c r="G134" t="inlineStr">
        <is>
          <t>ICICI</t>
        </is>
      </c>
      <c r="H134" t="n">
        <v>17016</v>
      </c>
      <c r="I134" t="inlineStr">
        <is>
          <t>%</t>
        </is>
      </c>
      <c r="J134" t="n">
        <v>1.42</v>
      </c>
      <c r="K134" t="inlineStr">
        <is>
          <t>Flat</t>
        </is>
      </c>
      <c r="L134" t="n">
        <v>189</v>
      </c>
      <c r="M134" t="inlineStr">
        <is>
          <t>Flat</t>
        </is>
      </c>
      <c r="N134" t="n">
        <v>37</v>
      </c>
      <c r="O134" t="inlineStr">
        <is>
          <t>FAILED</t>
        </is>
      </c>
      <c r="P134" t="inlineStr">
        <is>
          <t>NOT_CAPTURED</t>
        </is>
      </c>
    </row>
    <row r="135">
      <c r="A135" t="inlineStr">
        <is>
          <t>ORD0134</t>
        </is>
      </c>
      <c r="B135" t="inlineStr">
        <is>
          <t>02-03-2026</t>
        </is>
      </c>
      <c r="C135" t="inlineStr">
        <is>
          <t>Student_134</t>
        </is>
      </c>
      <c r="D135" t="inlineStr">
        <is>
          <t>ERP_A</t>
        </is>
      </c>
      <c r="E135" t="inlineStr">
        <is>
          <t>Cashfree</t>
        </is>
      </c>
      <c r="F135" t="inlineStr">
        <is>
          <t>UPI</t>
        </is>
      </c>
      <c r="G135" t="inlineStr">
        <is>
          <t>ICICI</t>
        </is>
      </c>
      <c r="H135" t="n">
        <v>2934</v>
      </c>
      <c r="I135" t="inlineStr">
        <is>
          <t>%</t>
        </is>
      </c>
      <c r="J135" t="n">
        <v>1.1</v>
      </c>
      <c r="K135" t="inlineStr">
        <is>
          <t>%</t>
        </is>
      </c>
      <c r="L135" t="n">
        <v>1.86</v>
      </c>
      <c r="M135" t="inlineStr">
        <is>
          <t>%</t>
        </is>
      </c>
      <c r="N135" t="n">
        <v>0.68</v>
      </c>
      <c r="O135" t="inlineStr">
        <is>
          <t>SUCCESS</t>
        </is>
      </c>
      <c r="P135" t="inlineStr">
        <is>
          <t>CAPTURED</t>
        </is>
      </c>
    </row>
    <row r="136">
      <c r="A136" t="inlineStr">
        <is>
          <t>ORD0135</t>
        </is>
      </c>
      <c r="B136" t="inlineStr">
        <is>
          <t>11-02-2026</t>
        </is>
      </c>
      <c r="C136" t="inlineStr">
        <is>
          <t>Student_135</t>
        </is>
      </c>
      <c r="D136" t="inlineStr">
        <is>
          <t>ERP_C</t>
        </is>
      </c>
      <c r="E136" t="inlineStr">
        <is>
          <t>PayU</t>
        </is>
      </c>
      <c r="F136" t="inlineStr">
        <is>
          <t>Card</t>
        </is>
      </c>
      <c r="G136" t="inlineStr">
        <is>
          <t>ICICI</t>
        </is>
      </c>
      <c r="H136" t="n">
        <v>18269</v>
      </c>
      <c r="I136" t="inlineStr">
        <is>
          <t>%</t>
        </is>
      </c>
      <c r="J136" t="n">
        <v>1.49</v>
      </c>
      <c r="K136" t="inlineStr">
        <is>
          <t>Flat</t>
        </is>
      </c>
      <c r="L136" t="n">
        <v>55</v>
      </c>
      <c r="M136" t="inlineStr">
        <is>
          <t>%</t>
        </is>
      </c>
      <c r="N136" t="n">
        <v>0.72</v>
      </c>
      <c r="O136" t="inlineStr">
        <is>
          <t>PENDING</t>
        </is>
      </c>
      <c r="P136" t="inlineStr">
        <is>
          <t>NOT_CAPTURED</t>
        </is>
      </c>
    </row>
    <row r="137">
      <c r="A137" t="inlineStr">
        <is>
          <t>ORD0136</t>
        </is>
      </c>
      <c r="B137" t="inlineStr">
        <is>
          <t>07-01-2026</t>
        </is>
      </c>
      <c r="C137" t="inlineStr">
        <is>
          <t>Student_136</t>
        </is>
      </c>
      <c r="D137" t="inlineStr">
        <is>
          <t>ERP_B</t>
        </is>
      </c>
      <c r="E137" t="inlineStr">
        <is>
          <t>Razorpay</t>
        </is>
      </c>
      <c r="F137" t="inlineStr">
        <is>
          <t>Wallet</t>
        </is>
      </c>
      <c r="G137" t="inlineStr">
        <is>
          <t>HDFC</t>
        </is>
      </c>
      <c r="H137" t="n">
        <v>11185</v>
      </c>
      <c r="I137" t="inlineStr">
        <is>
          <t>%</t>
        </is>
      </c>
      <c r="J137" t="n">
        <v>1.44</v>
      </c>
      <c r="K137" t="inlineStr">
        <is>
          <t>%</t>
        </is>
      </c>
      <c r="L137" t="n">
        <v>1.96</v>
      </c>
      <c r="M137" t="inlineStr">
        <is>
          <t>Flat</t>
        </is>
      </c>
      <c r="N137" t="n">
        <v>76</v>
      </c>
      <c r="O137" t="inlineStr">
        <is>
          <t>SUCCESS</t>
        </is>
      </c>
      <c r="P137" t="inlineStr">
        <is>
          <t>CAPTURED</t>
        </is>
      </c>
    </row>
    <row r="138">
      <c r="A138" t="inlineStr">
        <is>
          <t>ORD0137</t>
        </is>
      </c>
      <c r="B138" t="inlineStr">
        <is>
          <t>04-02-2026</t>
        </is>
      </c>
      <c r="C138" t="inlineStr">
        <is>
          <t>Student_137</t>
        </is>
      </c>
      <c r="D138" t="inlineStr">
        <is>
          <t>ERP_A</t>
        </is>
      </c>
      <c r="E138" t="inlineStr">
        <is>
          <t>Cashfree</t>
        </is>
      </c>
      <c r="F138" t="inlineStr">
        <is>
          <t>NetBanking</t>
        </is>
      </c>
      <c r="G138" t="inlineStr">
        <is>
          <t>HDFC</t>
        </is>
      </c>
      <c r="H138" t="n">
        <v>13003</v>
      </c>
      <c r="I138" t="inlineStr">
        <is>
          <t>Flat</t>
        </is>
      </c>
      <c r="J138" t="n">
        <v>34</v>
      </c>
      <c r="K138" t="inlineStr">
        <is>
          <t>%</t>
        </is>
      </c>
      <c r="L138" t="n">
        <v>1.65</v>
      </c>
      <c r="M138" t="inlineStr">
        <is>
          <t>%</t>
        </is>
      </c>
      <c r="N138" t="n">
        <v>0.53</v>
      </c>
      <c r="O138" t="inlineStr">
        <is>
          <t>FAILED</t>
        </is>
      </c>
      <c r="P138" t="inlineStr">
        <is>
          <t>NOT_CAPTURED</t>
        </is>
      </c>
    </row>
    <row r="139">
      <c r="A139" t="inlineStr">
        <is>
          <t>ORD0138</t>
        </is>
      </c>
      <c r="B139" t="inlineStr">
        <is>
          <t>02-03-2026</t>
        </is>
      </c>
      <c r="C139" t="inlineStr">
        <is>
          <t>Student_138</t>
        </is>
      </c>
      <c r="D139" t="inlineStr">
        <is>
          <t>ERP_B</t>
        </is>
      </c>
      <c r="E139" t="inlineStr">
        <is>
          <t>Razorpay</t>
        </is>
      </c>
      <c r="F139" t="inlineStr">
        <is>
          <t>NetBanking</t>
        </is>
      </c>
      <c r="G139" t="inlineStr">
        <is>
          <t>SBI</t>
        </is>
      </c>
      <c r="H139" t="n">
        <v>19277</v>
      </c>
      <c r="I139" t="inlineStr">
        <is>
          <t>%</t>
        </is>
      </c>
      <c r="J139" t="n">
        <v>1.28</v>
      </c>
      <c r="K139" t="inlineStr">
        <is>
          <t>Flat</t>
        </is>
      </c>
      <c r="L139" t="n">
        <v>238</v>
      </c>
      <c r="M139" t="inlineStr">
        <is>
          <t>%</t>
        </is>
      </c>
      <c r="N139" t="n">
        <v>0.62</v>
      </c>
      <c r="O139" t="inlineStr">
        <is>
          <t>SUCCESS</t>
        </is>
      </c>
      <c r="P139" t="inlineStr">
        <is>
          <t>CAPTURED</t>
        </is>
      </c>
    </row>
    <row r="140">
      <c r="A140" t="inlineStr">
        <is>
          <t>ORD0139</t>
        </is>
      </c>
      <c r="B140" t="inlineStr">
        <is>
          <t>22-02-2026</t>
        </is>
      </c>
      <c r="C140" t="inlineStr">
        <is>
          <t>Student_139</t>
        </is>
      </c>
      <c r="D140" t="inlineStr">
        <is>
          <t>ERP_C</t>
        </is>
      </c>
      <c r="E140" t="inlineStr">
        <is>
          <t>PayU</t>
        </is>
      </c>
      <c r="F140" t="inlineStr">
        <is>
          <t>Card</t>
        </is>
      </c>
      <c r="G140" t="inlineStr">
        <is>
          <t>Axis</t>
        </is>
      </c>
      <c r="H140" t="n">
        <v>13747</v>
      </c>
      <c r="I140" t="inlineStr">
        <is>
          <t>Flat</t>
        </is>
      </c>
      <c r="J140" t="n">
        <v>28</v>
      </c>
      <c r="K140" t="inlineStr">
        <is>
          <t>%</t>
        </is>
      </c>
      <c r="L140" t="n">
        <v>1.8</v>
      </c>
      <c r="M140" t="inlineStr">
        <is>
          <t>Flat</t>
        </is>
      </c>
      <c r="N140" t="n">
        <v>60</v>
      </c>
      <c r="O140" t="inlineStr">
        <is>
          <t>FAILED</t>
        </is>
      </c>
      <c r="P140" t="inlineStr">
        <is>
          <t>NOT_CAPTURED</t>
        </is>
      </c>
    </row>
    <row r="141">
      <c r="A141" t="inlineStr">
        <is>
          <t>ORD0140</t>
        </is>
      </c>
      <c r="B141" t="inlineStr">
        <is>
          <t>29-01-2026</t>
        </is>
      </c>
      <c r="C141" t="inlineStr">
        <is>
          <t>Student_140</t>
        </is>
      </c>
      <c r="D141" t="inlineStr">
        <is>
          <t>ERP_C</t>
        </is>
      </c>
      <c r="E141" t="inlineStr">
        <is>
          <t>Cashfree</t>
        </is>
      </c>
      <c r="F141" t="inlineStr">
        <is>
          <t>NetBanking</t>
        </is>
      </c>
      <c r="G141" t="inlineStr">
        <is>
          <t>Axis</t>
        </is>
      </c>
      <c r="H141" t="n">
        <v>4471</v>
      </c>
      <c r="I141" t="inlineStr">
        <is>
          <t>Flat</t>
        </is>
      </c>
      <c r="J141" t="n">
        <v>36</v>
      </c>
      <c r="K141" t="inlineStr">
        <is>
          <t>%</t>
        </is>
      </c>
      <c r="L141" t="n">
        <v>1.71</v>
      </c>
      <c r="M141" t="inlineStr">
        <is>
          <t>Flat</t>
        </is>
      </c>
      <c r="N141" t="n">
        <v>47</v>
      </c>
      <c r="O141" t="inlineStr">
        <is>
          <t>SUCCESS</t>
        </is>
      </c>
      <c r="P141" t="inlineStr">
        <is>
          <t>CAPTURED</t>
        </is>
      </c>
    </row>
    <row r="142">
      <c r="A142" t="inlineStr">
        <is>
          <t>ORD0141</t>
        </is>
      </c>
      <c r="B142" t="inlineStr">
        <is>
          <t>06-01-2026</t>
        </is>
      </c>
      <c r="C142" t="inlineStr">
        <is>
          <t>Student_141</t>
        </is>
      </c>
      <c r="D142" t="inlineStr">
        <is>
          <t>ERP_C</t>
        </is>
      </c>
      <c r="E142" t="inlineStr">
        <is>
          <t>Cashfree</t>
        </is>
      </c>
      <c r="F142" t="inlineStr">
        <is>
          <t>NetBanking</t>
        </is>
      </c>
      <c r="G142" t="inlineStr">
        <is>
          <t>HDFC</t>
        </is>
      </c>
      <c r="H142" t="n">
        <v>1179</v>
      </c>
      <c r="I142" t="inlineStr">
        <is>
          <t>Flat</t>
        </is>
      </c>
      <c r="J142" t="n">
        <v>91</v>
      </c>
      <c r="K142" t="inlineStr">
        <is>
          <t>Flat</t>
        </is>
      </c>
      <c r="L142" t="n">
        <v>242</v>
      </c>
      <c r="M142" t="inlineStr">
        <is>
          <t>Flat</t>
        </is>
      </c>
      <c r="N142" t="n">
        <v>65</v>
      </c>
      <c r="O142" t="inlineStr">
        <is>
          <t>PENDING</t>
        </is>
      </c>
      <c r="P142" t="inlineStr">
        <is>
          <t>NOT_CAPTURED</t>
        </is>
      </c>
    </row>
    <row r="143">
      <c r="A143" t="inlineStr">
        <is>
          <t>ORD0142</t>
        </is>
      </c>
      <c r="B143" t="inlineStr">
        <is>
          <t>27-02-2026</t>
        </is>
      </c>
      <c r="C143" t="inlineStr">
        <is>
          <t>Student_142</t>
        </is>
      </c>
      <c r="D143" t="inlineStr">
        <is>
          <t>ERP_B</t>
        </is>
      </c>
      <c r="E143" t="inlineStr">
        <is>
          <t>Razorpay</t>
        </is>
      </c>
      <c r="F143" t="inlineStr">
        <is>
          <t>Card</t>
        </is>
      </c>
      <c r="G143" t="inlineStr">
        <is>
          <t>ICICI</t>
        </is>
      </c>
      <c r="H143" t="n">
        <v>14644</v>
      </c>
      <c r="I143" t="inlineStr">
        <is>
          <t>%</t>
        </is>
      </c>
      <c r="J143" t="n">
        <v>0.87</v>
      </c>
      <c r="K143" t="inlineStr">
        <is>
          <t>%</t>
        </is>
      </c>
      <c r="L143" t="n">
        <v>1.48</v>
      </c>
      <c r="M143" t="inlineStr">
        <is>
          <t>%</t>
        </is>
      </c>
      <c r="N143" t="n">
        <v>0.9399999999999999</v>
      </c>
      <c r="O143" t="inlineStr">
        <is>
          <t>PENDING</t>
        </is>
      </c>
      <c r="P143" t="inlineStr">
        <is>
          <t>NOT_CAPTURED</t>
        </is>
      </c>
    </row>
    <row r="144">
      <c r="A144" t="inlineStr">
        <is>
          <t>ORD0143</t>
        </is>
      </c>
      <c r="B144" t="inlineStr">
        <is>
          <t>17-02-2026</t>
        </is>
      </c>
      <c r="C144" t="inlineStr">
        <is>
          <t>Student_143</t>
        </is>
      </c>
      <c r="D144" t="inlineStr">
        <is>
          <t>ERP_C</t>
        </is>
      </c>
      <c r="E144" t="inlineStr">
        <is>
          <t>Cashfree</t>
        </is>
      </c>
      <c r="F144" t="inlineStr">
        <is>
          <t>Wallet</t>
        </is>
      </c>
      <c r="G144" t="inlineStr">
        <is>
          <t>SBI</t>
        </is>
      </c>
      <c r="H144" t="n">
        <v>10841</v>
      </c>
      <c r="I144" t="inlineStr">
        <is>
          <t>Flat</t>
        </is>
      </c>
      <c r="J144" t="n">
        <v>27</v>
      </c>
      <c r="K144" t="inlineStr">
        <is>
          <t>%</t>
        </is>
      </c>
      <c r="L144" t="n">
        <v>1.89</v>
      </c>
      <c r="M144" t="inlineStr">
        <is>
          <t>Flat</t>
        </is>
      </c>
      <c r="N144" t="n">
        <v>70</v>
      </c>
      <c r="O144" t="inlineStr">
        <is>
          <t>PENDING</t>
        </is>
      </c>
      <c r="P144" t="inlineStr">
        <is>
          <t>NOT_CAPTURED</t>
        </is>
      </c>
    </row>
    <row r="145">
      <c r="A145" t="inlineStr">
        <is>
          <t>ORD0144</t>
        </is>
      </c>
      <c r="B145" t="inlineStr">
        <is>
          <t>18-02-2026</t>
        </is>
      </c>
      <c r="C145" t="inlineStr">
        <is>
          <t>Student_144</t>
        </is>
      </c>
      <c r="D145" t="inlineStr">
        <is>
          <t>ERP_B</t>
        </is>
      </c>
      <c r="E145" t="inlineStr">
        <is>
          <t>Razorpay</t>
        </is>
      </c>
      <c r="F145" t="inlineStr">
        <is>
          <t>Wallet</t>
        </is>
      </c>
      <c r="G145" t="inlineStr">
        <is>
          <t>SBI</t>
        </is>
      </c>
      <c r="H145" t="n">
        <v>14437</v>
      </c>
      <c r="I145" t="inlineStr">
        <is>
          <t>Flat</t>
        </is>
      </c>
      <c r="J145" t="n">
        <v>55</v>
      </c>
      <c r="K145" t="inlineStr">
        <is>
          <t>%</t>
        </is>
      </c>
      <c r="L145" t="n">
        <v>1.44</v>
      </c>
      <c r="M145" t="inlineStr">
        <is>
          <t>Flat</t>
        </is>
      </c>
      <c r="N145" t="n">
        <v>78</v>
      </c>
      <c r="O145" t="inlineStr">
        <is>
          <t>SUCCESS</t>
        </is>
      </c>
      <c r="P145" t="inlineStr">
        <is>
          <t>CAPTURED</t>
        </is>
      </c>
    </row>
    <row r="146">
      <c r="A146" t="inlineStr">
        <is>
          <t>ORD0145</t>
        </is>
      </c>
      <c r="B146" t="inlineStr">
        <is>
          <t>21-01-2026</t>
        </is>
      </c>
      <c r="C146" t="inlineStr">
        <is>
          <t>Student_145</t>
        </is>
      </c>
      <c r="D146" t="inlineStr">
        <is>
          <t>ERP_C</t>
        </is>
      </c>
      <c r="E146" t="inlineStr">
        <is>
          <t>PayU</t>
        </is>
      </c>
      <c r="F146" t="inlineStr">
        <is>
          <t>Card</t>
        </is>
      </c>
      <c r="G146" t="inlineStr">
        <is>
          <t>HDFC</t>
        </is>
      </c>
      <c r="H146" t="n">
        <v>16247</v>
      </c>
      <c r="I146" t="inlineStr">
        <is>
          <t>Flat</t>
        </is>
      </c>
      <c r="J146" t="n">
        <v>73</v>
      </c>
      <c r="K146" t="inlineStr">
        <is>
          <t>%</t>
        </is>
      </c>
      <c r="L146" t="n">
        <v>1.95</v>
      </c>
      <c r="M146" t="inlineStr">
        <is>
          <t>Flat</t>
        </is>
      </c>
      <c r="N146" t="n">
        <v>34</v>
      </c>
      <c r="O146" t="inlineStr">
        <is>
          <t>SUCCESS</t>
        </is>
      </c>
      <c r="P146" t="inlineStr">
        <is>
          <t>CAPTURED</t>
        </is>
      </c>
    </row>
    <row r="147">
      <c r="A147" t="inlineStr">
        <is>
          <t>ORD0146</t>
        </is>
      </c>
      <c r="B147" t="inlineStr">
        <is>
          <t>08-01-2026</t>
        </is>
      </c>
      <c r="C147" t="inlineStr">
        <is>
          <t>Student_146</t>
        </is>
      </c>
      <c r="D147" t="inlineStr">
        <is>
          <t>ERP_A</t>
        </is>
      </c>
      <c r="E147" t="inlineStr">
        <is>
          <t>Razorpay</t>
        </is>
      </c>
      <c r="F147" t="inlineStr">
        <is>
          <t>NetBanking</t>
        </is>
      </c>
      <c r="G147" t="inlineStr">
        <is>
          <t>HDFC</t>
        </is>
      </c>
      <c r="H147" t="n">
        <v>1229</v>
      </c>
      <c r="I147" t="inlineStr">
        <is>
          <t>Flat</t>
        </is>
      </c>
      <c r="J147" t="n">
        <v>34</v>
      </c>
      <c r="K147" t="inlineStr">
        <is>
          <t>%</t>
        </is>
      </c>
      <c r="L147" t="n">
        <v>1.22</v>
      </c>
      <c r="M147" t="inlineStr">
        <is>
          <t>Flat</t>
        </is>
      </c>
      <c r="N147" t="n">
        <v>41</v>
      </c>
      <c r="O147" t="inlineStr">
        <is>
          <t>PENDING</t>
        </is>
      </c>
      <c r="P147" t="inlineStr">
        <is>
          <t>NOT_CAPTURED</t>
        </is>
      </c>
    </row>
    <row r="148">
      <c r="A148" t="inlineStr">
        <is>
          <t>ORD0147</t>
        </is>
      </c>
      <c r="B148" t="inlineStr">
        <is>
          <t>27-01-2026</t>
        </is>
      </c>
      <c r="C148" t="inlineStr">
        <is>
          <t>Student_147</t>
        </is>
      </c>
      <c r="D148" t="inlineStr">
        <is>
          <t>ERP_B</t>
        </is>
      </c>
      <c r="E148" t="inlineStr">
        <is>
          <t>PayU</t>
        </is>
      </c>
      <c r="F148" t="inlineStr">
        <is>
          <t>UPI</t>
        </is>
      </c>
      <c r="G148" t="inlineStr">
        <is>
          <t>Axis</t>
        </is>
      </c>
      <c r="H148" t="n">
        <v>5999</v>
      </c>
      <c r="I148" t="inlineStr">
        <is>
          <t>%</t>
        </is>
      </c>
      <c r="J148" t="n">
        <v>1.44</v>
      </c>
      <c r="K148" t="inlineStr">
        <is>
          <t>Flat</t>
        </is>
      </c>
      <c r="L148" t="n">
        <v>246</v>
      </c>
      <c r="M148" t="inlineStr">
        <is>
          <t>%</t>
        </is>
      </c>
      <c r="N148" t="n">
        <v>0.82</v>
      </c>
      <c r="O148" t="inlineStr">
        <is>
          <t>SUCCESS</t>
        </is>
      </c>
      <c r="P148" t="inlineStr">
        <is>
          <t>CAPTURED</t>
        </is>
      </c>
    </row>
    <row r="149">
      <c r="A149" t="inlineStr">
        <is>
          <t>ORD0148</t>
        </is>
      </c>
      <c r="B149" t="inlineStr">
        <is>
          <t>05-01-2026</t>
        </is>
      </c>
      <c r="C149" t="inlineStr">
        <is>
          <t>Student_148</t>
        </is>
      </c>
      <c r="D149" t="inlineStr">
        <is>
          <t>ERP_C</t>
        </is>
      </c>
      <c r="E149" t="inlineStr">
        <is>
          <t>Cashfree</t>
        </is>
      </c>
      <c r="F149" t="inlineStr">
        <is>
          <t>UPI</t>
        </is>
      </c>
      <c r="G149" t="inlineStr">
        <is>
          <t>HDFC</t>
        </is>
      </c>
      <c r="H149" t="n">
        <v>6484</v>
      </c>
      <c r="I149" t="inlineStr">
        <is>
          <t>%</t>
        </is>
      </c>
      <c r="J149" t="n">
        <v>0.85</v>
      </c>
      <c r="K149" t="inlineStr">
        <is>
          <t>Flat</t>
        </is>
      </c>
      <c r="L149" t="n">
        <v>202</v>
      </c>
      <c r="M149" t="inlineStr">
        <is>
          <t>%</t>
        </is>
      </c>
      <c r="N149" t="n">
        <v>0.58</v>
      </c>
      <c r="O149" t="inlineStr">
        <is>
          <t>FAILED</t>
        </is>
      </c>
      <c r="P149" t="inlineStr">
        <is>
          <t>NOT_CAPTURED</t>
        </is>
      </c>
    </row>
    <row r="150">
      <c r="A150" t="inlineStr">
        <is>
          <t>ORD0149</t>
        </is>
      </c>
      <c r="B150" t="inlineStr">
        <is>
          <t>19-02-2026</t>
        </is>
      </c>
      <c r="C150" t="inlineStr">
        <is>
          <t>Student_149</t>
        </is>
      </c>
      <c r="D150" t="inlineStr">
        <is>
          <t>ERP_A</t>
        </is>
      </c>
      <c r="E150" t="inlineStr">
        <is>
          <t>Cashfree</t>
        </is>
      </c>
      <c r="F150" t="inlineStr">
        <is>
          <t>Wallet</t>
        </is>
      </c>
      <c r="G150" t="inlineStr">
        <is>
          <t>HDFC</t>
        </is>
      </c>
      <c r="H150" t="n">
        <v>12399</v>
      </c>
      <c r="I150" t="inlineStr">
        <is>
          <t>Flat</t>
        </is>
      </c>
      <c r="J150" t="n">
        <v>23</v>
      </c>
      <c r="K150" t="inlineStr">
        <is>
          <t>Flat</t>
        </is>
      </c>
      <c r="L150" t="n">
        <v>92</v>
      </c>
      <c r="M150" t="inlineStr">
        <is>
          <t>%</t>
        </is>
      </c>
      <c r="N150" t="n">
        <v>0.99</v>
      </c>
      <c r="O150" t="inlineStr">
        <is>
          <t>PENDING</t>
        </is>
      </c>
      <c r="P150" t="inlineStr">
        <is>
          <t>NOT_CAPTURED</t>
        </is>
      </c>
    </row>
    <row r="151">
      <c r="A151" t="inlineStr">
        <is>
          <t>ORD0150</t>
        </is>
      </c>
      <c r="B151" t="inlineStr">
        <is>
          <t>23-01-2026</t>
        </is>
      </c>
      <c r="C151" t="inlineStr">
        <is>
          <t>Student_150</t>
        </is>
      </c>
      <c r="D151" t="inlineStr">
        <is>
          <t>ERP_C</t>
        </is>
      </c>
      <c r="E151" t="inlineStr">
        <is>
          <t>Cashfree</t>
        </is>
      </c>
      <c r="F151" t="inlineStr">
        <is>
          <t>NetBanking</t>
        </is>
      </c>
      <c r="G151" t="inlineStr">
        <is>
          <t>SBI</t>
        </is>
      </c>
      <c r="H151" t="n">
        <v>18973</v>
      </c>
      <c r="I151" t="inlineStr">
        <is>
          <t>Flat</t>
        </is>
      </c>
      <c r="J151" t="n">
        <v>45</v>
      </c>
      <c r="K151" t="inlineStr">
        <is>
          <t>Flat</t>
        </is>
      </c>
      <c r="L151" t="n">
        <v>221</v>
      </c>
      <c r="M151" t="inlineStr">
        <is>
          <t>%</t>
        </is>
      </c>
      <c r="N151" t="n">
        <v>0.54</v>
      </c>
      <c r="O151" t="inlineStr">
        <is>
          <t>FAILED</t>
        </is>
      </c>
      <c r="P151" t="inlineStr">
        <is>
          <t>NOT_CAPTURED</t>
        </is>
      </c>
    </row>
    <row r="152">
      <c r="A152" t="inlineStr">
        <is>
          <t>ORD0151</t>
        </is>
      </c>
      <c r="B152" t="inlineStr">
        <is>
          <t>08-02-2026</t>
        </is>
      </c>
      <c r="C152" t="inlineStr">
        <is>
          <t>Student_151</t>
        </is>
      </c>
      <c r="D152" t="inlineStr">
        <is>
          <t>ERP_A</t>
        </is>
      </c>
      <c r="E152" t="inlineStr">
        <is>
          <t>PayU</t>
        </is>
      </c>
      <c r="F152" t="inlineStr">
        <is>
          <t>UPI</t>
        </is>
      </c>
      <c r="G152" t="inlineStr">
        <is>
          <t>Axis</t>
        </is>
      </c>
      <c r="H152" t="n">
        <v>10301</v>
      </c>
      <c r="I152" t="inlineStr">
        <is>
          <t>Flat</t>
        </is>
      </c>
      <c r="J152" t="n">
        <v>78</v>
      </c>
      <c r="K152" t="inlineStr">
        <is>
          <t>Flat</t>
        </is>
      </c>
      <c r="L152" t="n">
        <v>116</v>
      </c>
      <c r="M152" t="inlineStr">
        <is>
          <t>Flat</t>
        </is>
      </c>
      <c r="N152" t="n">
        <v>20</v>
      </c>
      <c r="O152" t="inlineStr">
        <is>
          <t>SUCCESS</t>
        </is>
      </c>
      <c r="P152" t="inlineStr">
        <is>
          <t>CAPTURED</t>
        </is>
      </c>
    </row>
    <row r="153">
      <c r="A153" t="inlineStr">
        <is>
          <t>ORD0152</t>
        </is>
      </c>
      <c r="B153" t="inlineStr">
        <is>
          <t>15-01-2026</t>
        </is>
      </c>
      <c r="C153" t="inlineStr">
        <is>
          <t>Student_152</t>
        </is>
      </c>
      <c r="D153" t="inlineStr">
        <is>
          <t>ERP_B</t>
        </is>
      </c>
      <c r="E153" t="inlineStr">
        <is>
          <t>PayU</t>
        </is>
      </c>
      <c r="F153" t="inlineStr">
        <is>
          <t>Card</t>
        </is>
      </c>
      <c r="G153" t="inlineStr">
        <is>
          <t>SBI</t>
        </is>
      </c>
      <c r="H153" t="n">
        <v>17335</v>
      </c>
      <c r="I153" t="inlineStr">
        <is>
          <t>Flat</t>
        </is>
      </c>
      <c r="J153" t="n">
        <v>30</v>
      </c>
      <c r="K153" t="inlineStr">
        <is>
          <t>%</t>
        </is>
      </c>
      <c r="L153" t="n">
        <v>1.88</v>
      </c>
      <c r="M153" t="inlineStr">
        <is>
          <t>Flat</t>
        </is>
      </c>
      <c r="N153" t="n">
        <v>39</v>
      </c>
      <c r="O153" t="inlineStr">
        <is>
          <t>FAILED</t>
        </is>
      </c>
      <c r="P153" t="inlineStr">
        <is>
          <t>NOT_CAPTURED</t>
        </is>
      </c>
    </row>
    <row r="154">
      <c r="A154" t="inlineStr">
        <is>
          <t>ORD0153</t>
        </is>
      </c>
      <c r="B154" t="inlineStr">
        <is>
          <t>12-02-2026</t>
        </is>
      </c>
      <c r="C154" t="inlineStr">
        <is>
          <t>Student_153</t>
        </is>
      </c>
      <c r="D154" t="inlineStr">
        <is>
          <t>ERP_B</t>
        </is>
      </c>
      <c r="E154" t="inlineStr">
        <is>
          <t>Cashfree</t>
        </is>
      </c>
      <c r="F154" t="inlineStr">
        <is>
          <t>Card</t>
        </is>
      </c>
      <c r="G154" t="inlineStr">
        <is>
          <t>Axis</t>
        </is>
      </c>
      <c r="H154" t="n">
        <v>1737</v>
      </c>
      <c r="I154" t="inlineStr">
        <is>
          <t>Flat</t>
        </is>
      </c>
      <c r="J154" t="n">
        <v>84</v>
      </c>
      <c r="K154" t="inlineStr">
        <is>
          <t>%</t>
        </is>
      </c>
      <c r="L154" t="n">
        <v>1.72</v>
      </c>
      <c r="M154" t="inlineStr">
        <is>
          <t>%</t>
        </is>
      </c>
      <c r="N154" t="n">
        <v>0.8</v>
      </c>
      <c r="O154" t="inlineStr">
        <is>
          <t>FAILED</t>
        </is>
      </c>
      <c r="P154" t="inlineStr">
        <is>
          <t>NOT_CAPTURED</t>
        </is>
      </c>
    </row>
    <row r="155">
      <c r="A155" t="inlineStr">
        <is>
          <t>ORD0154</t>
        </is>
      </c>
      <c r="B155" t="inlineStr">
        <is>
          <t>06-02-2026</t>
        </is>
      </c>
      <c r="C155" t="inlineStr">
        <is>
          <t>Student_154</t>
        </is>
      </c>
      <c r="D155" t="inlineStr">
        <is>
          <t>ERP_A</t>
        </is>
      </c>
      <c r="E155" t="inlineStr">
        <is>
          <t>Cashfree</t>
        </is>
      </c>
      <c r="F155" t="inlineStr">
        <is>
          <t>UPI</t>
        </is>
      </c>
      <c r="G155" t="inlineStr">
        <is>
          <t>SBI</t>
        </is>
      </c>
      <c r="H155" t="n">
        <v>6123</v>
      </c>
      <c r="I155" t="inlineStr">
        <is>
          <t>%</t>
        </is>
      </c>
      <c r="J155" t="n">
        <v>0.83</v>
      </c>
      <c r="K155" t="inlineStr">
        <is>
          <t>Flat</t>
        </is>
      </c>
      <c r="L155" t="n">
        <v>164</v>
      </c>
      <c r="M155" t="inlineStr">
        <is>
          <t>%</t>
        </is>
      </c>
      <c r="N155" t="n">
        <v>0.9</v>
      </c>
      <c r="O155" t="inlineStr">
        <is>
          <t>SUCCESS</t>
        </is>
      </c>
      <c r="P155" t="inlineStr">
        <is>
          <t>CAPTURED</t>
        </is>
      </c>
    </row>
    <row r="156">
      <c r="A156" t="inlineStr">
        <is>
          <t>ORD0155</t>
        </is>
      </c>
      <c r="B156" t="inlineStr">
        <is>
          <t>12-01-2026</t>
        </is>
      </c>
      <c r="C156" t="inlineStr">
        <is>
          <t>Student_155</t>
        </is>
      </c>
      <c r="D156" t="inlineStr">
        <is>
          <t>ERP_A</t>
        </is>
      </c>
      <c r="E156" t="inlineStr">
        <is>
          <t>PayU</t>
        </is>
      </c>
      <c r="F156" t="inlineStr">
        <is>
          <t>Wallet</t>
        </is>
      </c>
      <c r="G156" t="inlineStr">
        <is>
          <t>HDFC</t>
        </is>
      </c>
      <c r="H156" t="n">
        <v>7267</v>
      </c>
      <c r="I156" t="inlineStr">
        <is>
          <t>%</t>
        </is>
      </c>
      <c r="J156" t="n">
        <v>1.45</v>
      </c>
      <c r="K156" t="inlineStr">
        <is>
          <t>Flat</t>
        </is>
      </c>
      <c r="L156" t="n">
        <v>182</v>
      </c>
      <c r="M156" t="inlineStr">
        <is>
          <t>%</t>
        </is>
      </c>
      <c r="N156" t="n">
        <v>0.5600000000000001</v>
      </c>
      <c r="O156" t="inlineStr">
        <is>
          <t>FAILED</t>
        </is>
      </c>
      <c r="P156" t="inlineStr">
        <is>
          <t>NOT_CAPTURED</t>
        </is>
      </c>
    </row>
    <row r="157">
      <c r="A157" t="inlineStr">
        <is>
          <t>ORD0156</t>
        </is>
      </c>
      <c r="B157" t="inlineStr">
        <is>
          <t>03-02-2026</t>
        </is>
      </c>
      <c r="C157" t="inlineStr">
        <is>
          <t>Student_156</t>
        </is>
      </c>
      <c r="D157" t="inlineStr">
        <is>
          <t>ERP_A</t>
        </is>
      </c>
      <c r="E157" t="inlineStr">
        <is>
          <t>Razorpay</t>
        </is>
      </c>
      <c r="F157" t="inlineStr">
        <is>
          <t>Card</t>
        </is>
      </c>
      <c r="G157" t="inlineStr">
        <is>
          <t>HDFC</t>
        </is>
      </c>
      <c r="H157" t="n">
        <v>5823</v>
      </c>
      <c r="I157" t="inlineStr">
        <is>
          <t>%</t>
        </is>
      </c>
      <c r="J157" t="n">
        <v>1.02</v>
      </c>
      <c r="K157" t="inlineStr">
        <is>
          <t>Flat</t>
        </is>
      </c>
      <c r="L157" t="n">
        <v>204</v>
      </c>
      <c r="M157" t="inlineStr">
        <is>
          <t>Flat</t>
        </is>
      </c>
      <c r="N157" t="n">
        <v>40</v>
      </c>
      <c r="O157" t="inlineStr">
        <is>
          <t>PENDING</t>
        </is>
      </c>
      <c r="P157" t="inlineStr">
        <is>
          <t>NOT_CAPTURED</t>
        </is>
      </c>
    </row>
    <row r="158">
      <c r="A158" t="inlineStr">
        <is>
          <t>ORD0157</t>
        </is>
      </c>
      <c r="B158" t="inlineStr">
        <is>
          <t>21-02-2026</t>
        </is>
      </c>
      <c r="C158" t="inlineStr">
        <is>
          <t>Student_157</t>
        </is>
      </c>
      <c r="D158" t="inlineStr">
        <is>
          <t>ERP_C</t>
        </is>
      </c>
      <c r="E158" t="inlineStr">
        <is>
          <t>Razorpay</t>
        </is>
      </c>
      <c r="F158" t="inlineStr">
        <is>
          <t>Card</t>
        </is>
      </c>
      <c r="G158" t="inlineStr">
        <is>
          <t>SBI</t>
        </is>
      </c>
      <c r="H158" t="n">
        <v>3726</v>
      </c>
      <c r="I158" t="inlineStr">
        <is>
          <t>Flat</t>
        </is>
      </c>
      <c r="J158" t="n">
        <v>60</v>
      </c>
      <c r="K158" t="inlineStr">
        <is>
          <t>Flat</t>
        </is>
      </c>
      <c r="L158" t="n">
        <v>144</v>
      </c>
      <c r="M158" t="inlineStr">
        <is>
          <t>%</t>
        </is>
      </c>
      <c r="N158" t="n">
        <v>0.67</v>
      </c>
      <c r="O158" t="inlineStr">
        <is>
          <t>PENDING</t>
        </is>
      </c>
      <c r="P158" t="inlineStr">
        <is>
          <t>NOT_CAPTURED</t>
        </is>
      </c>
    </row>
    <row r="159">
      <c r="A159" t="inlineStr">
        <is>
          <t>ORD0158</t>
        </is>
      </c>
      <c r="B159" t="inlineStr">
        <is>
          <t>02-02-2026</t>
        </is>
      </c>
      <c r="C159" t="inlineStr">
        <is>
          <t>Student_158</t>
        </is>
      </c>
      <c r="D159" t="inlineStr">
        <is>
          <t>ERP_A</t>
        </is>
      </c>
      <c r="E159" t="inlineStr">
        <is>
          <t>Cashfree</t>
        </is>
      </c>
      <c r="F159" t="inlineStr">
        <is>
          <t>Wallet</t>
        </is>
      </c>
      <c r="G159" t="inlineStr">
        <is>
          <t>HDFC</t>
        </is>
      </c>
      <c r="H159" t="n">
        <v>7016</v>
      </c>
      <c r="I159" t="inlineStr">
        <is>
          <t>Flat</t>
        </is>
      </c>
      <c r="J159" t="n">
        <v>62</v>
      </c>
      <c r="K159" t="inlineStr">
        <is>
          <t>Flat</t>
        </is>
      </c>
      <c r="L159" t="n">
        <v>155</v>
      </c>
      <c r="M159" t="inlineStr">
        <is>
          <t>%</t>
        </is>
      </c>
      <c r="N159" t="n">
        <v>0.93</v>
      </c>
      <c r="O159" t="inlineStr">
        <is>
          <t>SUCCESS</t>
        </is>
      </c>
      <c r="P159" t="inlineStr">
        <is>
          <t>CAPTURED</t>
        </is>
      </c>
    </row>
    <row r="160">
      <c r="A160" t="inlineStr">
        <is>
          <t>ORD0159</t>
        </is>
      </c>
      <c r="B160" t="inlineStr">
        <is>
          <t>17-01-2026</t>
        </is>
      </c>
      <c r="C160" t="inlineStr">
        <is>
          <t>Student_159</t>
        </is>
      </c>
      <c r="D160" t="inlineStr">
        <is>
          <t>ERP_C</t>
        </is>
      </c>
      <c r="E160" t="inlineStr">
        <is>
          <t>PayU</t>
        </is>
      </c>
      <c r="F160" t="inlineStr">
        <is>
          <t>UPI</t>
        </is>
      </c>
      <c r="G160" t="inlineStr">
        <is>
          <t>SBI</t>
        </is>
      </c>
      <c r="H160" t="n">
        <v>3948</v>
      </c>
      <c r="I160" t="inlineStr">
        <is>
          <t>%</t>
        </is>
      </c>
      <c r="J160" t="n">
        <v>1.18</v>
      </c>
      <c r="K160" t="inlineStr">
        <is>
          <t>Flat</t>
        </is>
      </c>
      <c r="L160" t="n">
        <v>116</v>
      </c>
      <c r="M160" t="inlineStr">
        <is>
          <t>%</t>
        </is>
      </c>
      <c r="N160" t="n">
        <v>0.59</v>
      </c>
      <c r="O160" t="inlineStr">
        <is>
          <t>FAILED</t>
        </is>
      </c>
      <c r="P160" t="inlineStr">
        <is>
          <t>NOT_CAPTURED</t>
        </is>
      </c>
    </row>
    <row r="161">
      <c r="A161" t="inlineStr">
        <is>
          <t>ORD0160</t>
        </is>
      </c>
      <c r="B161" t="inlineStr">
        <is>
          <t>05-02-2026</t>
        </is>
      </c>
      <c r="C161" t="inlineStr">
        <is>
          <t>Student_160</t>
        </is>
      </c>
      <c r="D161" t="inlineStr">
        <is>
          <t>ERP_B</t>
        </is>
      </c>
      <c r="E161" t="inlineStr">
        <is>
          <t>PayU</t>
        </is>
      </c>
      <c r="F161" t="inlineStr">
        <is>
          <t>Wallet</t>
        </is>
      </c>
      <c r="G161" t="inlineStr">
        <is>
          <t>ICICI</t>
        </is>
      </c>
      <c r="H161" t="n">
        <v>18018</v>
      </c>
      <c r="I161" t="inlineStr">
        <is>
          <t>Flat</t>
        </is>
      </c>
      <c r="J161" t="n">
        <v>35</v>
      </c>
      <c r="K161" t="inlineStr">
        <is>
          <t>Flat</t>
        </is>
      </c>
      <c r="L161" t="n">
        <v>184</v>
      </c>
      <c r="M161" t="inlineStr">
        <is>
          <t>Flat</t>
        </is>
      </c>
      <c r="N161" t="n">
        <v>62</v>
      </c>
      <c r="O161" t="inlineStr">
        <is>
          <t>SUCCESS</t>
        </is>
      </c>
      <c r="P161" t="inlineStr">
        <is>
          <t>CAPTURED</t>
        </is>
      </c>
    </row>
    <row r="162">
      <c r="A162" t="inlineStr">
        <is>
          <t>ORD0161</t>
        </is>
      </c>
      <c r="B162" t="inlineStr">
        <is>
          <t>27-02-2026</t>
        </is>
      </c>
      <c r="C162" t="inlineStr">
        <is>
          <t>Student_161</t>
        </is>
      </c>
      <c r="D162" t="inlineStr">
        <is>
          <t>ERP_C</t>
        </is>
      </c>
      <c r="E162" t="inlineStr">
        <is>
          <t>PayU</t>
        </is>
      </c>
      <c r="F162" t="inlineStr">
        <is>
          <t>NetBanking</t>
        </is>
      </c>
      <c r="G162" t="inlineStr">
        <is>
          <t>Axis</t>
        </is>
      </c>
      <c r="H162" t="n">
        <v>1156</v>
      </c>
      <c r="I162" t="inlineStr">
        <is>
          <t>Flat</t>
        </is>
      </c>
      <c r="J162" t="n">
        <v>32</v>
      </c>
      <c r="K162" t="inlineStr">
        <is>
          <t>Flat</t>
        </is>
      </c>
      <c r="L162" t="n">
        <v>62</v>
      </c>
      <c r="M162" t="inlineStr">
        <is>
          <t>%</t>
        </is>
      </c>
      <c r="N162" t="n">
        <v>0.53</v>
      </c>
      <c r="O162" t="inlineStr">
        <is>
          <t>FAILED</t>
        </is>
      </c>
      <c r="P162" t="inlineStr">
        <is>
          <t>NOT_CAPTURED</t>
        </is>
      </c>
    </row>
    <row r="163">
      <c r="A163" t="inlineStr">
        <is>
          <t>ORD0162</t>
        </is>
      </c>
      <c r="B163" t="inlineStr">
        <is>
          <t>27-01-2026</t>
        </is>
      </c>
      <c r="C163" t="inlineStr">
        <is>
          <t>Student_162</t>
        </is>
      </c>
      <c r="D163" t="inlineStr">
        <is>
          <t>ERP_C</t>
        </is>
      </c>
      <c r="E163" t="inlineStr">
        <is>
          <t>Razorpay</t>
        </is>
      </c>
      <c r="F163" t="inlineStr">
        <is>
          <t>NetBanking</t>
        </is>
      </c>
      <c r="G163" t="inlineStr">
        <is>
          <t>SBI</t>
        </is>
      </c>
      <c r="H163" t="n">
        <v>1900</v>
      </c>
      <c r="I163" t="inlineStr">
        <is>
          <t>%</t>
        </is>
      </c>
      <c r="J163" t="n">
        <v>1.34</v>
      </c>
      <c r="K163" t="inlineStr">
        <is>
          <t>Flat</t>
        </is>
      </c>
      <c r="L163" t="n">
        <v>56</v>
      </c>
      <c r="M163" t="inlineStr">
        <is>
          <t>%</t>
        </is>
      </c>
      <c r="N163" t="n">
        <v>0.57</v>
      </c>
      <c r="O163" t="inlineStr">
        <is>
          <t>SUCCESS</t>
        </is>
      </c>
      <c r="P163" t="inlineStr">
        <is>
          <t>CAPTURED</t>
        </is>
      </c>
    </row>
    <row r="164">
      <c r="A164" t="inlineStr">
        <is>
          <t>ORD0163</t>
        </is>
      </c>
      <c r="B164" t="inlineStr">
        <is>
          <t>18-01-2026</t>
        </is>
      </c>
      <c r="C164" t="inlineStr">
        <is>
          <t>Student_163</t>
        </is>
      </c>
      <c r="D164" t="inlineStr">
        <is>
          <t>ERP_C</t>
        </is>
      </c>
      <c r="E164" t="inlineStr">
        <is>
          <t>Cashfree</t>
        </is>
      </c>
      <c r="F164" t="inlineStr">
        <is>
          <t>NetBanking</t>
        </is>
      </c>
      <c r="G164" t="inlineStr">
        <is>
          <t>Axis</t>
        </is>
      </c>
      <c r="H164" t="n">
        <v>14426</v>
      </c>
      <c r="I164" t="inlineStr">
        <is>
          <t>%</t>
        </is>
      </c>
      <c r="J164" t="n">
        <v>1</v>
      </c>
      <c r="K164" t="inlineStr">
        <is>
          <t>Flat</t>
        </is>
      </c>
      <c r="L164" t="n">
        <v>156</v>
      </c>
      <c r="M164" t="inlineStr">
        <is>
          <t>%</t>
        </is>
      </c>
      <c r="N164" t="n">
        <v>0.91</v>
      </c>
      <c r="O164" t="inlineStr">
        <is>
          <t>SUCCESS</t>
        </is>
      </c>
      <c r="P164" t="inlineStr">
        <is>
          <t>CAPTURED</t>
        </is>
      </c>
    </row>
    <row r="165">
      <c r="A165" t="inlineStr">
        <is>
          <t>ORD0164</t>
        </is>
      </c>
      <c r="B165" t="inlineStr">
        <is>
          <t>09-01-2026</t>
        </is>
      </c>
      <c r="C165" t="inlineStr">
        <is>
          <t>Student_164</t>
        </is>
      </c>
      <c r="D165" t="inlineStr">
        <is>
          <t>ERP_A</t>
        </is>
      </c>
      <c r="E165" t="inlineStr">
        <is>
          <t>Cashfree</t>
        </is>
      </c>
      <c r="F165" t="inlineStr">
        <is>
          <t>Wallet</t>
        </is>
      </c>
      <c r="G165" t="inlineStr">
        <is>
          <t>ICICI</t>
        </is>
      </c>
      <c r="H165" t="n">
        <v>19703</v>
      </c>
      <c r="I165" t="inlineStr">
        <is>
          <t>Flat</t>
        </is>
      </c>
      <c r="J165" t="n">
        <v>30</v>
      </c>
      <c r="K165" t="inlineStr">
        <is>
          <t>%</t>
        </is>
      </c>
      <c r="L165" t="n">
        <v>1.42</v>
      </c>
      <c r="M165" t="inlineStr">
        <is>
          <t>Flat</t>
        </is>
      </c>
      <c r="N165" t="n">
        <v>58</v>
      </c>
      <c r="O165" t="inlineStr">
        <is>
          <t>SUCCESS</t>
        </is>
      </c>
      <c r="P165" t="inlineStr">
        <is>
          <t>CAPTURED</t>
        </is>
      </c>
    </row>
    <row r="166">
      <c r="A166" t="inlineStr">
        <is>
          <t>ORD0165</t>
        </is>
      </c>
      <c r="B166" t="inlineStr">
        <is>
          <t>09-02-2026</t>
        </is>
      </c>
      <c r="C166" t="inlineStr">
        <is>
          <t>Student_165</t>
        </is>
      </c>
      <c r="D166" t="inlineStr">
        <is>
          <t>ERP_C</t>
        </is>
      </c>
      <c r="E166" t="inlineStr">
        <is>
          <t>Cashfree</t>
        </is>
      </c>
      <c r="F166" t="inlineStr">
        <is>
          <t>Card</t>
        </is>
      </c>
      <c r="G166" t="inlineStr">
        <is>
          <t>Axis</t>
        </is>
      </c>
      <c r="H166" t="n">
        <v>4858</v>
      </c>
      <c r="I166" t="inlineStr">
        <is>
          <t>Flat</t>
        </is>
      </c>
      <c r="J166" t="n">
        <v>100</v>
      </c>
      <c r="K166" t="inlineStr">
        <is>
          <t>%</t>
        </is>
      </c>
      <c r="L166" t="n">
        <v>1.21</v>
      </c>
      <c r="M166" t="inlineStr">
        <is>
          <t>Flat</t>
        </is>
      </c>
      <c r="N166" t="n">
        <v>26</v>
      </c>
      <c r="O166" t="inlineStr">
        <is>
          <t>FAILED</t>
        </is>
      </c>
      <c r="P166" t="inlineStr">
        <is>
          <t>NOT_CAPTURED</t>
        </is>
      </c>
    </row>
    <row r="167">
      <c r="A167" t="inlineStr">
        <is>
          <t>ORD0166</t>
        </is>
      </c>
      <c r="B167" t="inlineStr">
        <is>
          <t>01-02-2026</t>
        </is>
      </c>
      <c r="C167" t="inlineStr">
        <is>
          <t>Student_166</t>
        </is>
      </c>
      <c r="D167" t="inlineStr">
        <is>
          <t>ERP_A</t>
        </is>
      </c>
      <c r="E167" t="inlineStr">
        <is>
          <t>PayU</t>
        </is>
      </c>
      <c r="F167" t="inlineStr">
        <is>
          <t>NetBanking</t>
        </is>
      </c>
      <c r="G167" t="inlineStr">
        <is>
          <t>SBI</t>
        </is>
      </c>
      <c r="H167" t="n">
        <v>7320</v>
      </c>
      <c r="I167" t="inlineStr">
        <is>
          <t>%</t>
        </is>
      </c>
      <c r="J167" t="n">
        <v>1.33</v>
      </c>
      <c r="K167" t="inlineStr">
        <is>
          <t>%</t>
        </is>
      </c>
      <c r="L167" t="n">
        <v>1.64</v>
      </c>
      <c r="M167" t="inlineStr">
        <is>
          <t>Flat</t>
        </is>
      </c>
      <c r="N167" t="n">
        <v>35</v>
      </c>
      <c r="O167" t="inlineStr">
        <is>
          <t>PENDING</t>
        </is>
      </c>
      <c r="P167" t="inlineStr">
        <is>
          <t>NOT_CAPTURED</t>
        </is>
      </c>
    </row>
    <row r="168">
      <c r="A168" t="inlineStr">
        <is>
          <t>ORD0167</t>
        </is>
      </c>
      <c r="B168" t="inlineStr">
        <is>
          <t>25-01-2026</t>
        </is>
      </c>
      <c r="C168" t="inlineStr">
        <is>
          <t>Student_167</t>
        </is>
      </c>
      <c r="D168" t="inlineStr">
        <is>
          <t>ERP_B</t>
        </is>
      </c>
      <c r="E168" t="inlineStr">
        <is>
          <t>Razorpay</t>
        </is>
      </c>
      <c r="F168" t="inlineStr">
        <is>
          <t>Card</t>
        </is>
      </c>
      <c r="G168" t="inlineStr">
        <is>
          <t>HDFC</t>
        </is>
      </c>
      <c r="H168" t="n">
        <v>19304</v>
      </c>
      <c r="I168" t="inlineStr">
        <is>
          <t>%</t>
        </is>
      </c>
      <c r="J168" t="n">
        <v>0.83</v>
      </c>
      <c r="K168" t="inlineStr">
        <is>
          <t>Flat</t>
        </is>
      </c>
      <c r="L168" t="n">
        <v>84</v>
      </c>
      <c r="M168" t="inlineStr">
        <is>
          <t>Flat</t>
        </is>
      </c>
      <c r="N168" t="n">
        <v>73</v>
      </c>
      <c r="O168" t="inlineStr">
        <is>
          <t>PENDING</t>
        </is>
      </c>
      <c r="P168" t="inlineStr">
        <is>
          <t>NOT_CAPTURED</t>
        </is>
      </c>
    </row>
    <row r="169">
      <c r="A169" t="inlineStr">
        <is>
          <t>ORD0168</t>
        </is>
      </c>
      <c r="B169" t="inlineStr">
        <is>
          <t>28-01-2026</t>
        </is>
      </c>
      <c r="C169" t="inlineStr">
        <is>
          <t>Student_168</t>
        </is>
      </c>
      <c r="D169" t="inlineStr">
        <is>
          <t>ERP_B</t>
        </is>
      </c>
      <c r="E169" t="inlineStr">
        <is>
          <t>Razorpay</t>
        </is>
      </c>
      <c r="F169" t="inlineStr">
        <is>
          <t>NetBanking</t>
        </is>
      </c>
      <c r="G169" t="inlineStr">
        <is>
          <t>HDFC</t>
        </is>
      </c>
      <c r="H169" t="n">
        <v>11059</v>
      </c>
      <c r="I169" t="inlineStr">
        <is>
          <t>Flat</t>
        </is>
      </c>
      <c r="J169" t="n">
        <v>83</v>
      </c>
      <c r="K169" t="inlineStr">
        <is>
          <t>%</t>
        </is>
      </c>
      <c r="L169" t="n">
        <v>1.41</v>
      </c>
      <c r="M169" t="inlineStr">
        <is>
          <t>Flat</t>
        </is>
      </c>
      <c r="N169" t="n">
        <v>62</v>
      </c>
      <c r="O169" t="inlineStr">
        <is>
          <t>FAILED</t>
        </is>
      </c>
      <c r="P169" t="inlineStr">
        <is>
          <t>NOT_CAPTURED</t>
        </is>
      </c>
    </row>
    <row r="170">
      <c r="A170" t="inlineStr">
        <is>
          <t>ORD0169</t>
        </is>
      </c>
      <c r="B170" t="inlineStr">
        <is>
          <t>04-01-2026</t>
        </is>
      </c>
      <c r="C170" t="inlineStr">
        <is>
          <t>Student_169</t>
        </is>
      </c>
      <c r="D170" t="inlineStr">
        <is>
          <t>ERP_C</t>
        </is>
      </c>
      <c r="E170" t="inlineStr">
        <is>
          <t>Razorpay</t>
        </is>
      </c>
      <c r="F170" t="inlineStr">
        <is>
          <t>Wallet</t>
        </is>
      </c>
      <c r="G170" t="inlineStr">
        <is>
          <t>SBI</t>
        </is>
      </c>
      <c r="H170" t="n">
        <v>1710</v>
      </c>
      <c r="I170" t="inlineStr">
        <is>
          <t>%</t>
        </is>
      </c>
      <c r="J170" t="n">
        <v>1.17</v>
      </c>
      <c r="K170" t="inlineStr">
        <is>
          <t>%</t>
        </is>
      </c>
      <c r="L170" t="n">
        <v>1.98</v>
      </c>
      <c r="M170" t="inlineStr">
        <is>
          <t>Flat</t>
        </is>
      </c>
      <c r="N170" t="n">
        <v>20</v>
      </c>
      <c r="O170" t="inlineStr">
        <is>
          <t>PENDING</t>
        </is>
      </c>
      <c r="P170" t="inlineStr">
        <is>
          <t>NOT_CAPTURED</t>
        </is>
      </c>
    </row>
    <row r="171">
      <c r="A171" t="inlineStr">
        <is>
          <t>ORD0170</t>
        </is>
      </c>
      <c r="B171" t="inlineStr">
        <is>
          <t>10-02-2026</t>
        </is>
      </c>
      <c r="C171" t="inlineStr">
        <is>
          <t>Student_170</t>
        </is>
      </c>
      <c r="D171" t="inlineStr">
        <is>
          <t>ERP_C</t>
        </is>
      </c>
      <c r="E171" t="inlineStr">
        <is>
          <t>Razorpay</t>
        </is>
      </c>
      <c r="F171" t="inlineStr">
        <is>
          <t>NetBanking</t>
        </is>
      </c>
      <c r="G171" t="inlineStr">
        <is>
          <t>Axis</t>
        </is>
      </c>
      <c r="H171" t="n">
        <v>11540</v>
      </c>
      <c r="I171" t="inlineStr">
        <is>
          <t>Flat</t>
        </is>
      </c>
      <c r="J171" t="n">
        <v>89</v>
      </c>
      <c r="K171" t="inlineStr">
        <is>
          <t>%</t>
        </is>
      </c>
      <c r="L171" t="n">
        <v>1.6</v>
      </c>
      <c r="M171" t="inlineStr">
        <is>
          <t>%</t>
        </is>
      </c>
      <c r="N171" t="n">
        <v>0.6</v>
      </c>
      <c r="O171" t="inlineStr">
        <is>
          <t>PENDING</t>
        </is>
      </c>
      <c r="P171" t="inlineStr">
        <is>
          <t>NOT_CAPTURED</t>
        </is>
      </c>
    </row>
    <row r="172">
      <c r="A172" t="inlineStr">
        <is>
          <t>ORD0171</t>
        </is>
      </c>
      <c r="B172" t="inlineStr">
        <is>
          <t>18-01-2026</t>
        </is>
      </c>
      <c r="C172" t="inlineStr">
        <is>
          <t>Student_171</t>
        </is>
      </c>
      <c r="D172" t="inlineStr">
        <is>
          <t>ERP_C</t>
        </is>
      </c>
      <c r="E172" t="inlineStr">
        <is>
          <t>PayU</t>
        </is>
      </c>
      <c r="F172" t="inlineStr">
        <is>
          <t>Card</t>
        </is>
      </c>
      <c r="G172" t="inlineStr">
        <is>
          <t>ICICI</t>
        </is>
      </c>
      <c r="H172" t="n">
        <v>7072</v>
      </c>
      <c r="I172" t="inlineStr">
        <is>
          <t>%</t>
        </is>
      </c>
      <c r="J172" t="n">
        <v>1.21</v>
      </c>
      <c r="K172" t="inlineStr">
        <is>
          <t>Flat</t>
        </is>
      </c>
      <c r="L172" t="n">
        <v>109</v>
      </c>
      <c r="M172" t="inlineStr">
        <is>
          <t>%</t>
        </is>
      </c>
      <c r="N172" t="n">
        <v>0.95</v>
      </c>
      <c r="O172" t="inlineStr">
        <is>
          <t>PENDING</t>
        </is>
      </c>
      <c r="P172" t="inlineStr">
        <is>
          <t>NOT_CAPTURED</t>
        </is>
      </c>
    </row>
    <row r="173">
      <c r="A173" t="inlineStr">
        <is>
          <t>ORD0172</t>
        </is>
      </c>
      <c r="B173" t="inlineStr">
        <is>
          <t>19-02-2026</t>
        </is>
      </c>
      <c r="C173" t="inlineStr">
        <is>
          <t>Student_172</t>
        </is>
      </c>
      <c r="D173" t="inlineStr">
        <is>
          <t>ERP_A</t>
        </is>
      </c>
      <c r="E173" t="inlineStr">
        <is>
          <t>Cashfree</t>
        </is>
      </c>
      <c r="F173" t="inlineStr">
        <is>
          <t>NetBanking</t>
        </is>
      </c>
      <c r="G173" t="inlineStr">
        <is>
          <t>ICICI</t>
        </is>
      </c>
      <c r="H173" t="n">
        <v>10650</v>
      </c>
      <c r="I173" t="inlineStr">
        <is>
          <t>%</t>
        </is>
      </c>
      <c r="J173" t="n">
        <v>1.34</v>
      </c>
      <c r="K173" t="inlineStr">
        <is>
          <t>Flat</t>
        </is>
      </c>
      <c r="L173" t="n">
        <v>222</v>
      </c>
      <c r="M173" t="inlineStr">
        <is>
          <t>Flat</t>
        </is>
      </c>
      <c r="N173" t="n">
        <v>35</v>
      </c>
      <c r="O173" t="inlineStr">
        <is>
          <t>PENDING</t>
        </is>
      </c>
      <c r="P173" t="inlineStr">
        <is>
          <t>NOT_CAPTURED</t>
        </is>
      </c>
    </row>
    <row r="174">
      <c r="A174" t="inlineStr">
        <is>
          <t>ORD0173</t>
        </is>
      </c>
      <c r="B174" t="inlineStr">
        <is>
          <t>15-01-2026</t>
        </is>
      </c>
      <c r="C174" t="inlineStr">
        <is>
          <t>Student_173</t>
        </is>
      </c>
      <c r="D174" t="inlineStr">
        <is>
          <t>ERP_C</t>
        </is>
      </c>
      <c r="E174" t="inlineStr">
        <is>
          <t>PayU</t>
        </is>
      </c>
      <c r="F174" t="inlineStr">
        <is>
          <t>Card</t>
        </is>
      </c>
      <c r="G174" t="inlineStr">
        <is>
          <t>SBI</t>
        </is>
      </c>
      <c r="H174" t="n">
        <v>11353</v>
      </c>
      <c r="I174" t="inlineStr">
        <is>
          <t>Flat</t>
        </is>
      </c>
      <c r="J174" t="n">
        <v>44</v>
      </c>
      <c r="K174" t="inlineStr">
        <is>
          <t>%</t>
        </is>
      </c>
      <c r="L174" t="n">
        <v>1.61</v>
      </c>
      <c r="M174" t="inlineStr">
        <is>
          <t>Flat</t>
        </is>
      </c>
      <c r="N174" t="n">
        <v>39</v>
      </c>
      <c r="O174" t="inlineStr">
        <is>
          <t>SUCCESS</t>
        </is>
      </c>
      <c r="P174" t="inlineStr">
        <is>
          <t>CAPTURED</t>
        </is>
      </c>
    </row>
    <row r="175">
      <c r="A175" t="inlineStr">
        <is>
          <t>ORD0174</t>
        </is>
      </c>
      <c r="B175" t="inlineStr">
        <is>
          <t>16-01-2026</t>
        </is>
      </c>
      <c r="C175" t="inlineStr">
        <is>
          <t>Student_174</t>
        </is>
      </c>
      <c r="D175" t="inlineStr">
        <is>
          <t>ERP_A</t>
        </is>
      </c>
      <c r="E175" t="inlineStr">
        <is>
          <t>Cashfree</t>
        </is>
      </c>
      <c r="F175" t="inlineStr">
        <is>
          <t>UPI</t>
        </is>
      </c>
      <c r="G175" t="inlineStr">
        <is>
          <t>SBI</t>
        </is>
      </c>
      <c r="H175" t="n">
        <v>5909</v>
      </c>
      <c r="I175" t="inlineStr">
        <is>
          <t>%</t>
        </is>
      </c>
      <c r="J175" t="n">
        <v>1.1</v>
      </c>
      <c r="K175" t="inlineStr">
        <is>
          <t>%</t>
        </is>
      </c>
      <c r="L175" t="n">
        <v>1.93</v>
      </c>
      <c r="M175" t="inlineStr">
        <is>
          <t>Flat</t>
        </is>
      </c>
      <c r="N175" t="n">
        <v>42</v>
      </c>
      <c r="O175" t="inlineStr">
        <is>
          <t>FAILED</t>
        </is>
      </c>
      <c r="P175" t="inlineStr">
        <is>
          <t>NOT_CAPTURED</t>
        </is>
      </c>
    </row>
    <row r="176">
      <c r="A176" t="inlineStr">
        <is>
          <t>ORD0175</t>
        </is>
      </c>
      <c r="B176" t="inlineStr">
        <is>
          <t>22-01-2026</t>
        </is>
      </c>
      <c r="C176" t="inlineStr">
        <is>
          <t>Student_175</t>
        </is>
      </c>
      <c r="D176" t="inlineStr">
        <is>
          <t>ERP_A</t>
        </is>
      </c>
      <c r="E176" t="inlineStr">
        <is>
          <t>Cashfree</t>
        </is>
      </c>
      <c r="F176" t="inlineStr">
        <is>
          <t>Card</t>
        </is>
      </c>
      <c r="G176" t="inlineStr">
        <is>
          <t>SBI</t>
        </is>
      </c>
      <c r="H176" t="n">
        <v>1695</v>
      </c>
      <c r="I176" t="inlineStr">
        <is>
          <t>%</t>
        </is>
      </c>
      <c r="J176" t="n">
        <v>1.09</v>
      </c>
      <c r="K176" t="inlineStr">
        <is>
          <t>%</t>
        </is>
      </c>
      <c r="L176" t="n">
        <v>1.98</v>
      </c>
      <c r="M176" t="inlineStr">
        <is>
          <t>Flat</t>
        </is>
      </c>
      <c r="N176" t="n">
        <v>58</v>
      </c>
      <c r="O176" t="inlineStr">
        <is>
          <t>FAILED</t>
        </is>
      </c>
      <c r="P176" t="inlineStr">
        <is>
          <t>NOT_CAPTURED</t>
        </is>
      </c>
    </row>
    <row r="177">
      <c r="A177" t="inlineStr">
        <is>
          <t>ORD0176</t>
        </is>
      </c>
      <c r="B177" t="inlineStr">
        <is>
          <t>18-02-2026</t>
        </is>
      </c>
      <c r="C177" t="inlineStr">
        <is>
          <t>Student_176</t>
        </is>
      </c>
      <c r="D177" t="inlineStr">
        <is>
          <t>ERP_C</t>
        </is>
      </c>
      <c r="E177" t="inlineStr">
        <is>
          <t>Cashfree</t>
        </is>
      </c>
      <c r="F177" t="inlineStr">
        <is>
          <t>Card</t>
        </is>
      </c>
      <c r="G177" t="inlineStr">
        <is>
          <t>Axis</t>
        </is>
      </c>
      <c r="H177" t="n">
        <v>9531</v>
      </c>
      <c r="I177" t="inlineStr">
        <is>
          <t>%</t>
        </is>
      </c>
      <c r="J177" t="n">
        <v>1.26</v>
      </c>
      <c r="K177" t="inlineStr">
        <is>
          <t>Flat</t>
        </is>
      </c>
      <c r="L177" t="n">
        <v>247</v>
      </c>
      <c r="M177" t="inlineStr">
        <is>
          <t>%</t>
        </is>
      </c>
      <c r="N177" t="n">
        <v>0.78</v>
      </c>
      <c r="O177" t="inlineStr">
        <is>
          <t>SUCCESS</t>
        </is>
      </c>
      <c r="P177" t="inlineStr">
        <is>
          <t>CAPTURED</t>
        </is>
      </c>
    </row>
    <row r="178">
      <c r="A178" t="inlineStr">
        <is>
          <t>ORD0177</t>
        </is>
      </c>
      <c r="B178" t="inlineStr">
        <is>
          <t>12-01-2026</t>
        </is>
      </c>
      <c r="C178" t="inlineStr">
        <is>
          <t>Student_177</t>
        </is>
      </c>
      <c r="D178" t="inlineStr">
        <is>
          <t>ERP_B</t>
        </is>
      </c>
      <c r="E178" t="inlineStr">
        <is>
          <t>PayU</t>
        </is>
      </c>
      <c r="F178" t="inlineStr">
        <is>
          <t>Card</t>
        </is>
      </c>
      <c r="G178" t="inlineStr">
        <is>
          <t>SBI</t>
        </is>
      </c>
      <c r="H178" t="n">
        <v>14362</v>
      </c>
      <c r="I178" t="inlineStr">
        <is>
          <t>Flat</t>
        </is>
      </c>
      <c r="J178" t="n">
        <v>56</v>
      </c>
      <c r="K178" t="inlineStr">
        <is>
          <t>Flat</t>
        </is>
      </c>
      <c r="L178" t="n">
        <v>65</v>
      </c>
      <c r="M178" t="inlineStr">
        <is>
          <t>Flat</t>
        </is>
      </c>
      <c r="N178" t="n">
        <v>77</v>
      </c>
      <c r="O178" t="inlineStr">
        <is>
          <t>PENDING</t>
        </is>
      </c>
      <c r="P178" t="inlineStr">
        <is>
          <t>NOT_CAPTURED</t>
        </is>
      </c>
    </row>
    <row r="179">
      <c r="A179" t="inlineStr">
        <is>
          <t>ORD0178</t>
        </is>
      </c>
      <c r="B179" t="inlineStr">
        <is>
          <t>08-02-2026</t>
        </is>
      </c>
      <c r="C179" t="inlineStr">
        <is>
          <t>Student_178</t>
        </is>
      </c>
      <c r="D179" t="inlineStr">
        <is>
          <t>ERP_C</t>
        </is>
      </c>
      <c r="E179" t="inlineStr">
        <is>
          <t>Razorpay</t>
        </is>
      </c>
      <c r="F179" t="inlineStr">
        <is>
          <t>UPI</t>
        </is>
      </c>
      <c r="G179" t="inlineStr">
        <is>
          <t>SBI</t>
        </is>
      </c>
      <c r="H179" t="n">
        <v>15349</v>
      </c>
      <c r="I179" t="inlineStr">
        <is>
          <t>%</t>
        </is>
      </c>
      <c r="J179" t="n">
        <v>1.39</v>
      </c>
      <c r="K179" t="inlineStr">
        <is>
          <t>Flat</t>
        </is>
      </c>
      <c r="L179" t="n">
        <v>155</v>
      </c>
      <c r="M179" t="inlineStr">
        <is>
          <t>%</t>
        </is>
      </c>
      <c r="N179" t="n">
        <v>0.8100000000000001</v>
      </c>
      <c r="O179" t="inlineStr">
        <is>
          <t>FAILED</t>
        </is>
      </c>
      <c r="P179" t="inlineStr">
        <is>
          <t>NOT_CAPTURED</t>
        </is>
      </c>
    </row>
    <row r="180">
      <c r="A180" t="inlineStr">
        <is>
          <t>ORD0179</t>
        </is>
      </c>
      <c r="B180" t="inlineStr">
        <is>
          <t>07-01-2026</t>
        </is>
      </c>
      <c r="C180" t="inlineStr">
        <is>
          <t>Student_179</t>
        </is>
      </c>
      <c r="D180" t="inlineStr">
        <is>
          <t>ERP_C</t>
        </is>
      </c>
      <c r="E180" t="inlineStr">
        <is>
          <t>Cashfree</t>
        </is>
      </c>
      <c r="F180" t="inlineStr">
        <is>
          <t>NetBanking</t>
        </is>
      </c>
      <c r="G180" t="inlineStr">
        <is>
          <t>HDFC</t>
        </is>
      </c>
      <c r="H180" t="n">
        <v>7688</v>
      </c>
      <c r="I180" t="inlineStr">
        <is>
          <t>%</t>
        </is>
      </c>
      <c r="J180" t="n">
        <v>0.92</v>
      </c>
      <c r="K180" t="inlineStr">
        <is>
          <t>%</t>
        </is>
      </c>
      <c r="L180" t="n">
        <v>1.54</v>
      </c>
      <c r="M180" t="inlineStr">
        <is>
          <t>%</t>
        </is>
      </c>
      <c r="N180" t="n">
        <v>0.58</v>
      </c>
      <c r="O180" t="inlineStr">
        <is>
          <t>FAILED</t>
        </is>
      </c>
      <c r="P180" t="inlineStr">
        <is>
          <t>NOT_CAPTURED</t>
        </is>
      </c>
    </row>
    <row r="181">
      <c r="A181" t="inlineStr">
        <is>
          <t>ORD0180</t>
        </is>
      </c>
      <c r="B181" t="inlineStr">
        <is>
          <t>30-01-2026</t>
        </is>
      </c>
      <c r="C181" t="inlineStr">
        <is>
          <t>Student_180</t>
        </is>
      </c>
      <c r="D181" t="inlineStr">
        <is>
          <t>ERP_A</t>
        </is>
      </c>
      <c r="E181" t="inlineStr">
        <is>
          <t>Cashfree</t>
        </is>
      </c>
      <c r="F181" t="inlineStr">
        <is>
          <t>Card</t>
        </is>
      </c>
      <c r="G181" t="inlineStr">
        <is>
          <t>Axis</t>
        </is>
      </c>
      <c r="H181" t="n">
        <v>13390</v>
      </c>
      <c r="I181" t="inlineStr">
        <is>
          <t>%</t>
        </is>
      </c>
      <c r="J181" t="n">
        <v>0.84</v>
      </c>
      <c r="K181" t="inlineStr">
        <is>
          <t>Flat</t>
        </is>
      </c>
      <c r="L181" t="n">
        <v>76</v>
      </c>
      <c r="M181" t="inlineStr">
        <is>
          <t>%</t>
        </is>
      </c>
      <c r="N181" t="n">
        <v>0.51</v>
      </c>
      <c r="O181" t="inlineStr">
        <is>
          <t>FAILED</t>
        </is>
      </c>
      <c r="P181" t="inlineStr">
        <is>
          <t>NOT_CAPTURED</t>
        </is>
      </c>
    </row>
    <row r="182">
      <c r="A182" t="inlineStr">
        <is>
          <t>ORD0181</t>
        </is>
      </c>
      <c r="B182" t="inlineStr">
        <is>
          <t>31-01-2026</t>
        </is>
      </c>
      <c r="C182" t="inlineStr">
        <is>
          <t>Student_181</t>
        </is>
      </c>
      <c r="D182" t="inlineStr">
        <is>
          <t>ERP_A</t>
        </is>
      </c>
      <c r="E182" t="inlineStr">
        <is>
          <t>Cashfree</t>
        </is>
      </c>
      <c r="F182" t="inlineStr">
        <is>
          <t>UPI</t>
        </is>
      </c>
      <c r="G182" t="inlineStr">
        <is>
          <t>SBI</t>
        </is>
      </c>
      <c r="H182" t="n">
        <v>5272</v>
      </c>
      <c r="I182" t="inlineStr">
        <is>
          <t>%</t>
        </is>
      </c>
      <c r="J182" t="n">
        <v>1.36</v>
      </c>
      <c r="K182" t="inlineStr">
        <is>
          <t>%</t>
        </is>
      </c>
      <c r="L182" t="n">
        <v>1.35</v>
      </c>
      <c r="M182" t="inlineStr">
        <is>
          <t>%</t>
        </is>
      </c>
      <c r="N182" t="n">
        <v>0.52</v>
      </c>
      <c r="O182" t="inlineStr">
        <is>
          <t>PENDING</t>
        </is>
      </c>
      <c r="P182" t="inlineStr">
        <is>
          <t>NOT_CAPTURED</t>
        </is>
      </c>
    </row>
    <row r="183">
      <c r="A183" t="inlineStr">
        <is>
          <t>ORD0182</t>
        </is>
      </c>
      <c r="B183" t="inlineStr">
        <is>
          <t>24-02-2026</t>
        </is>
      </c>
      <c r="C183" t="inlineStr">
        <is>
          <t>Student_182</t>
        </is>
      </c>
      <c r="D183" t="inlineStr">
        <is>
          <t>ERP_B</t>
        </is>
      </c>
      <c r="E183" t="inlineStr">
        <is>
          <t>PayU</t>
        </is>
      </c>
      <c r="F183" t="inlineStr">
        <is>
          <t>UPI</t>
        </is>
      </c>
      <c r="G183" t="inlineStr">
        <is>
          <t>ICICI</t>
        </is>
      </c>
      <c r="H183" t="n">
        <v>19328</v>
      </c>
      <c r="I183" t="inlineStr">
        <is>
          <t>%</t>
        </is>
      </c>
      <c r="J183" t="n">
        <v>1.13</v>
      </c>
      <c r="K183" t="inlineStr">
        <is>
          <t>%</t>
        </is>
      </c>
      <c r="L183" t="n">
        <v>1.91</v>
      </c>
      <c r="M183" t="inlineStr">
        <is>
          <t>%</t>
        </is>
      </c>
      <c r="N183" t="n">
        <v>0.92</v>
      </c>
      <c r="O183" t="inlineStr">
        <is>
          <t>FAILED</t>
        </is>
      </c>
      <c r="P183" t="inlineStr">
        <is>
          <t>NOT_CAPTURED</t>
        </is>
      </c>
    </row>
    <row r="184">
      <c r="A184" t="inlineStr">
        <is>
          <t>ORD0183</t>
        </is>
      </c>
      <c r="B184" t="inlineStr">
        <is>
          <t>09-01-2026</t>
        </is>
      </c>
      <c r="C184" t="inlineStr">
        <is>
          <t>Student_183</t>
        </is>
      </c>
      <c r="D184" t="inlineStr">
        <is>
          <t>ERP_C</t>
        </is>
      </c>
      <c r="E184" t="inlineStr">
        <is>
          <t>Razorpay</t>
        </is>
      </c>
      <c r="F184" t="inlineStr">
        <is>
          <t>NetBanking</t>
        </is>
      </c>
      <c r="G184" t="inlineStr">
        <is>
          <t>HDFC</t>
        </is>
      </c>
      <c r="H184" t="n">
        <v>7612</v>
      </c>
      <c r="I184" t="inlineStr">
        <is>
          <t>%</t>
        </is>
      </c>
      <c r="J184" t="n">
        <v>0.91</v>
      </c>
      <c r="K184" t="inlineStr">
        <is>
          <t>Flat</t>
        </is>
      </c>
      <c r="L184" t="n">
        <v>177</v>
      </c>
      <c r="M184" t="inlineStr">
        <is>
          <t>Flat</t>
        </is>
      </c>
      <c r="N184" t="n">
        <v>61</v>
      </c>
      <c r="O184" t="inlineStr">
        <is>
          <t>SUCCESS</t>
        </is>
      </c>
      <c r="P184" t="inlineStr">
        <is>
          <t>CAPTURED</t>
        </is>
      </c>
    </row>
    <row r="185">
      <c r="A185" t="inlineStr">
        <is>
          <t>ORD0184</t>
        </is>
      </c>
      <c r="B185" t="inlineStr">
        <is>
          <t>09-02-2026</t>
        </is>
      </c>
      <c r="C185" t="inlineStr">
        <is>
          <t>Student_184</t>
        </is>
      </c>
      <c r="D185" t="inlineStr">
        <is>
          <t>ERP_A</t>
        </is>
      </c>
      <c r="E185" t="inlineStr">
        <is>
          <t>Cashfree</t>
        </is>
      </c>
      <c r="F185" t="inlineStr">
        <is>
          <t>UPI</t>
        </is>
      </c>
      <c r="G185" t="inlineStr">
        <is>
          <t>ICICI</t>
        </is>
      </c>
      <c r="H185" t="n">
        <v>4057</v>
      </c>
      <c r="I185" t="inlineStr">
        <is>
          <t>%</t>
        </is>
      </c>
      <c r="J185" t="n">
        <v>0.92</v>
      </c>
      <c r="K185" t="inlineStr">
        <is>
          <t>Flat</t>
        </is>
      </c>
      <c r="L185" t="n">
        <v>62</v>
      </c>
      <c r="M185" t="inlineStr">
        <is>
          <t>%</t>
        </is>
      </c>
      <c r="N185" t="n">
        <v>0.91</v>
      </c>
      <c r="O185" t="inlineStr">
        <is>
          <t>PENDING</t>
        </is>
      </c>
      <c r="P185" t="inlineStr">
        <is>
          <t>NOT_CAPTURED</t>
        </is>
      </c>
    </row>
    <row r="186">
      <c r="A186" t="inlineStr">
        <is>
          <t>ORD0185</t>
        </is>
      </c>
      <c r="B186" t="inlineStr">
        <is>
          <t>03-01-2026</t>
        </is>
      </c>
      <c r="C186" t="inlineStr">
        <is>
          <t>Student_185</t>
        </is>
      </c>
      <c r="D186" t="inlineStr">
        <is>
          <t>ERP_C</t>
        </is>
      </c>
      <c r="E186" t="inlineStr">
        <is>
          <t>Cashfree</t>
        </is>
      </c>
      <c r="F186" t="inlineStr">
        <is>
          <t>Wallet</t>
        </is>
      </c>
      <c r="G186" t="inlineStr">
        <is>
          <t>HDFC</t>
        </is>
      </c>
      <c r="H186" t="n">
        <v>2553</v>
      </c>
      <c r="I186" t="inlineStr">
        <is>
          <t>Flat</t>
        </is>
      </c>
      <c r="J186" t="n">
        <v>59</v>
      </c>
      <c r="K186" t="inlineStr">
        <is>
          <t>Flat</t>
        </is>
      </c>
      <c r="L186" t="n">
        <v>76</v>
      </c>
      <c r="M186" t="inlineStr">
        <is>
          <t>%</t>
        </is>
      </c>
      <c r="N186" t="n">
        <v>0.62</v>
      </c>
      <c r="O186" t="inlineStr">
        <is>
          <t>PENDING</t>
        </is>
      </c>
      <c r="P186" t="inlineStr">
        <is>
          <t>NOT_CAPTURED</t>
        </is>
      </c>
    </row>
    <row r="187">
      <c r="A187" t="inlineStr">
        <is>
          <t>ORD0186</t>
        </is>
      </c>
      <c r="B187" t="inlineStr">
        <is>
          <t>12-02-2026</t>
        </is>
      </c>
      <c r="C187" t="inlineStr">
        <is>
          <t>Student_186</t>
        </is>
      </c>
      <c r="D187" t="inlineStr">
        <is>
          <t>ERP_B</t>
        </is>
      </c>
      <c r="E187" t="inlineStr">
        <is>
          <t>Razorpay</t>
        </is>
      </c>
      <c r="F187" t="inlineStr">
        <is>
          <t>Wallet</t>
        </is>
      </c>
      <c r="G187" t="inlineStr">
        <is>
          <t>ICICI</t>
        </is>
      </c>
      <c r="H187" t="n">
        <v>14990</v>
      </c>
      <c r="I187" t="inlineStr">
        <is>
          <t>Flat</t>
        </is>
      </c>
      <c r="J187" t="n">
        <v>78</v>
      </c>
      <c r="K187" t="inlineStr">
        <is>
          <t>%</t>
        </is>
      </c>
      <c r="L187" t="n">
        <v>1.57</v>
      </c>
      <c r="M187" t="inlineStr">
        <is>
          <t>%</t>
        </is>
      </c>
      <c r="N187" t="n">
        <v>0.73</v>
      </c>
      <c r="O187" t="inlineStr">
        <is>
          <t>PENDING</t>
        </is>
      </c>
      <c r="P187" t="inlineStr">
        <is>
          <t>NOT_CAPTURED</t>
        </is>
      </c>
    </row>
    <row r="188">
      <c r="A188" t="inlineStr">
        <is>
          <t>ORD0187</t>
        </is>
      </c>
      <c r="B188" t="inlineStr">
        <is>
          <t>04-01-2026</t>
        </is>
      </c>
      <c r="C188" t="inlineStr">
        <is>
          <t>Student_187</t>
        </is>
      </c>
      <c r="D188" t="inlineStr">
        <is>
          <t>ERP_C</t>
        </is>
      </c>
      <c r="E188" t="inlineStr">
        <is>
          <t>PayU</t>
        </is>
      </c>
      <c r="F188" t="inlineStr">
        <is>
          <t>NetBanking</t>
        </is>
      </c>
      <c r="G188" t="inlineStr">
        <is>
          <t>Axis</t>
        </is>
      </c>
      <c r="H188" t="n">
        <v>11344</v>
      </c>
      <c r="I188" t="inlineStr">
        <is>
          <t>%</t>
        </is>
      </c>
      <c r="J188" t="n">
        <v>0.9399999999999999</v>
      </c>
      <c r="K188" t="inlineStr">
        <is>
          <t>Flat</t>
        </is>
      </c>
      <c r="L188" t="n">
        <v>199</v>
      </c>
      <c r="M188" t="inlineStr">
        <is>
          <t>Flat</t>
        </is>
      </c>
      <c r="N188" t="n">
        <v>31</v>
      </c>
      <c r="O188" t="inlineStr">
        <is>
          <t>PENDING</t>
        </is>
      </c>
      <c r="P188" t="inlineStr">
        <is>
          <t>NOT_CAPTURED</t>
        </is>
      </c>
    </row>
    <row r="189">
      <c r="A189" t="inlineStr">
        <is>
          <t>ORD0188</t>
        </is>
      </c>
      <c r="B189" t="inlineStr">
        <is>
          <t>14-02-2026</t>
        </is>
      </c>
      <c r="C189" t="inlineStr">
        <is>
          <t>Student_188</t>
        </is>
      </c>
      <c r="D189" t="inlineStr">
        <is>
          <t>ERP_A</t>
        </is>
      </c>
      <c r="E189" t="inlineStr">
        <is>
          <t>Cashfree</t>
        </is>
      </c>
      <c r="F189" t="inlineStr">
        <is>
          <t>UPI</t>
        </is>
      </c>
      <c r="G189" t="inlineStr">
        <is>
          <t>HDFC</t>
        </is>
      </c>
      <c r="H189" t="n">
        <v>13263</v>
      </c>
      <c r="I189" t="inlineStr">
        <is>
          <t>%</t>
        </is>
      </c>
      <c r="J189" t="n">
        <v>0.9399999999999999</v>
      </c>
      <c r="K189" t="inlineStr">
        <is>
          <t>Flat</t>
        </is>
      </c>
      <c r="L189" t="n">
        <v>250</v>
      </c>
      <c r="M189" t="inlineStr">
        <is>
          <t>Flat</t>
        </is>
      </c>
      <c r="N189" t="n">
        <v>63</v>
      </c>
      <c r="O189" t="inlineStr">
        <is>
          <t>PENDING</t>
        </is>
      </c>
      <c r="P189" t="inlineStr">
        <is>
          <t>NOT_CAPTURED</t>
        </is>
      </c>
    </row>
    <row r="190">
      <c r="A190" t="inlineStr">
        <is>
          <t>ORD0189</t>
        </is>
      </c>
      <c r="B190" t="inlineStr">
        <is>
          <t>10-01-2026</t>
        </is>
      </c>
      <c r="C190" t="inlineStr">
        <is>
          <t>Student_189</t>
        </is>
      </c>
      <c r="D190" t="inlineStr">
        <is>
          <t>ERP_B</t>
        </is>
      </c>
      <c r="E190" t="inlineStr">
        <is>
          <t>Razorpay</t>
        </is>
      </c>
      <c r="F190" t="inlineStr">
        <is>
          <t>Wallet</t>
        </is>
      </c>
      <c r="G190" t="inlineStr">
        <is>
          <t>HDFC</t>
        </is>
      </c>
      <c r="H190" t="n">
        <v>10352</v>
      </c>
      <c r="I190" t="inlineStr">
        <is>
          <t>Flat</t>
        </is>
      </c>
      <c r="J190" t="n">
        <v>62</v>
      </c>
      <c r="K190" t="inlineStr">
        <is>
          <t>%</t>
        </is>
      </c>
      <c r="L190" t="n">
        <v>1.68</v>
      </c>
      <c r="M190" t="inlineStr">
        <is>
          <t>%</t>
        </is>
      </c>
      <c r="N190" t="n">
        <v>0.71</v>
      </c>
      <c r="O190" t="inlineStr">
        <is>
          <t>PENDING</t>
        </is>
      </c>
      <c r="P190" t="inlineStr">
        <is>
          <t>NOT_CAPTURED</t>
        </is>
      </c>
    </row>
    <row r="191">
      <c r="A191" t="inlineStr">
        <is>
          <t>ORD0190</t>
        </is>
      </c>
      <c r="B191" t="inlineStr">
        <is>
          <t>24-01-2026</t>
        </is>
      </c>
      <c r="C191" t="inlineStr">
        <is>
          <t>Student_190</t>
        </is>
      </c>
      <c r="D191" t="inlineStr">
        <is>
          <t>ERP_C</t>
        </is>
      </c>
      <c r="E191" t="inlineStr">
        <is>
          <t>Razorpay</t>
        </is>
      </c>
      <c r="F191" t="inlineStr">
        <is>
          <t>Wallet</t>
        </is>
      </c>
      <c r="G191" t="inlineStr">
        <is>
          <t>Axis</t>
        </is>
      </c>
      <c r="H191" t="n">
        <v>16819</v>
      </c>
      <c r="I191" t="inlineStr">
        <is>
          <t>Flat</t>
        </is>
      </c>
      <c r="J191" t="n">
        <v>57</v>
      </c>
      <c r="K191" t="inlineStr">
        <is>
          <t>Flat</t>
        </is>
      </c>
      <c r="L191" t="n">
        <v>210</v>
      </c>
      <c r="M191" t="inlineStr">
        <is>
          <t>Flat</t>
        </is>
      </c>
      <c r="N191" t="n">
        <v>24</v>
      </c>
      <c r="O191" t="inlineStr">
        <is>
          <t>SUCCESS</t>
        </is>
      </c>
      <c r="P191" t="inlineStr">
        <is>
          <t>CAPTURED</t>
        </is>
      </c>
    </row>
    <row r="192">
      <c r="A192" t="inlineStr">
        <is>
          <t>ORD0191</t>
        </is>
      </c>
      <c r="B192" t="inlineStr">
        <is>
          <t>05-01-2026</t>
        </is>
      </c>
      <c r="C192" t="inlineStr">
        <is>
          <t>Student_191</t>
        </is>
      </c>
      <c r="D192" t="inlineStr">
        <is>
          <t>ERP_C</t>
        </is>
      </c>
      <c r="E192" t="inlineStr">
        <is>
          <t>PayU</t>
        </is>
      </c>
      <c r="F192" t="inlineStr">
        <is>
          <t>UPI</t>
        </is>
      </c>
      <c r="G192" t="inlineStr">
        <is>
          <t>ICICI</t>
        </is>
      </c>
      <c r="H192" t="n">
        <v>7850</v>
      </c>
      <c r="I192" t="inlineStr">
        <is>
          <t>Flat</t>
        </is>
      </c>
      <c r="J192" t="n">
        <v>34</v>
      </c>
      <c r="K192" t="inlineStr">
        <is>
          <t>Flat</t>
        </is>
      </c>
      <c r="L192" t="n">
        <v>236</v>
      </c>
      <c r="M192" t="inlineStr">
        <is>
          <t>%</t>
        </is>
      </c>
      <c r="N192" t="n">
        <v>0.77</v>
      </c>
      <c r="O192" t="inlineStr">
        <is>
          <t>PENDING</t>
        </is>
      </c>
      <c r="P192" t="inlineStr">
        <is>
          <t>NOT_CAPTURED</t>
        </is>
      </c>
    </row>
    <row r="193">
      <c r="A193" t="inlineStr">
        <is>
          <t>ORD0192</t>
        </is>
      </c>
      <c r="B193" t="inlineStr">
        <is>
          <t>20-02-2026</t>
        </is>
      </c>
      <c r="C193" t="inlineStr">
        <is>
          <t>Student_192</t>
        </is>
      </c>
      <c r="D193" t="inlineStr">
        <is>
          <t>ERP_B</t>
        </is>
      </c>
      <c r="E193" t="inlineStr">
        <is>
          <t>Cashfree</t>
        </is>
      </c>
      <c r="F193" t="inlineStr">
        <is>
          <t>NetBanking</t>
        </is>
      </c>
      <c r="G193" t="inlineStr">
        <is>
          <t>ICICI</t>
        </is>
      </c>
      <c r="H193" t="n">
        <v>15749</v>
      </c>
      <c r="I193" t="inlineStr">
        <is>
          <t>Flat</t>
        </is>
      </c>
      <c r="J193" t="n">
        <v>37</v>
      </c>
      <c r="K193" t="inlineStr">
        <is>
          <t>Flat</t>
        </is>
      </c>
      <c r="L193" t="n">
        <v>109</v>
      </c>
      <c r="M193" t="inlineStr">
        <is>
          <t>%</t>
        </is>
      </c>
      <c r="N193" t="n">
        <v>0.91</v>
      </c>
      <c r="O193" t="inlineStr">
        <is>
          <t>PENDING</t>
        </is>
      </c>
      <c r="P193" t="inlineStr">
        <is>
          <t>NOT_CAPTURED</t>
        </is>
      </c>
    </row>
    <row r="194">
      <c r="A194" t="inlineStr">
        <is>
          <t>ORD0193</t>
        </is>
      </c>
      <c r="B194" t="inlineStr">
        <is>
          <t>16-02-2026</t>
        </is>
      </c>
      <c r="C194" t="inlineStr">
        <is>
          <t>Student_193</t>
        </is>
      </c>
      <c r="D194" t="inlineStr">
        <is>
          <t>ERP_A</t>
        </is>
      </c>
      <c r="E194" t="inlineStr">
        <is>
          <t>Razorpay</t>
        </is>
      </c>
      <c r="F194" t="inlineStr">
        <is>
          <t>NetBanking</t>
        </is>
      </c>
      <c r="G194" t="inlineStr">
        <is>
          <t>SBI</t>
        </is>
      </c>
      <c r="H194" t="n">
        <v>2417</v>
      </c>
      <c r="I194" t="inlineStr">
        <is>
          <t>Flat</t>
        </is>
      </c>
      <c r="J194" t="n">
        <v>73</v>
      </c>
      <c r="K194" t="inlineStr">
        <is>
          <t>%</t>
        </is>
      </c>
      <c r="L194" t="n">
        <v>1.95</v>
      </c>
      <c r="M194" t="inlineStr">
        <is>
          <t>%</t>
        </is>
      </c>
      <c r="N194" t="n">
        <v>0.71</v>
      </c>
      <c r="O194" t="inlineStr">
        <is>
          <t>SUCCESS</t>
        </is>
      </c>
      <c r="P194" t="inlineStr">
        <is>
          <t>CAPTURED</t>
        </is>
      </c>
    </row>
    <row r="195">
      <c r="A195" t="inlineStr">
        <is>
          <t>ORD0194</t>
        </is>
      </c>
      <c r="B195" t="inlineStr">
        <is>
          <t>06-01-2026</t>
        </is>
      </c>
      <c r="C195" t="inlineStr">
        <is>
          <t>Student_194</t>
        </is>
      </c>
      <c r="D195" t="inlineStr">
        <is>
          <t>ERP_A</t>
        </is>
      </c>
      <c r="E195" t="inlineStr">
        <is>
          <t>PayU</t>
        </is>
      </c>
      <c r="F195" t="inlineStr">
        <is>
          <t>Card</t>
        </is>
      </c>
      <c r="G195" t="inlineStr">
        <is>
          <t>ICICI</t>
        </is>
      </c>
      <c r="H195" t="n">
        <v>3174</v>
      </c>
      <c r="I195" t="inlineStr">
        <is>
          <t>Flat</t>
        </is>
      </c>
      <c r="J195" t="n">
        <v>64</v>
      </c>
      <c r="K195" t="inlineStr">
        <is>
          <t>%</t>
        </is>
      </c>
      <c r="L195" t="n">
        <v>1.72</v>
      </c>
      <c r="M195" t="inlineStr">
        <is>
          <t>%</t>
        </is>
      </c>
      <c r="N195" t="n">
        <v>0.75</v>
      </c>
      <c r="O195" t="inlineStr">
        <is>
          <t>FAILED</t>
        </is>
      </c>
      <c r="P195" t="inlineStr">
        <is>
          <t>NOT_CAPTURED</t>
        </is>
      </c>
    </row>
    <row r="196">
      <c r="A196" t="inlineStr">
        <is>
          <t>ORD0195</t>
        </is>
      </c>
      <c r="B196" t="inlineStr">
        <is>
          <t>18-01-2026</t>
        </is>
      </c>
      <c r="C196" t="inlineStr">
        <is>
          <t>Student_195</t>
        </is>
      </c>
      <c r="D196" t="inlineStr">
        <is>
          <t>ERP_C</t>
        </is>
      </c>
      <c r="E196" t="inlineStr">
        <is>
          <t>Cashfree</t>
        </is>
      </c>
      <c r="F196" t="inlineStr">
        <is>
          <t>NetBanking</t>
        </is>
      </c>
      <c r="G196" t="inlineStr">
        <is>
          <t>HDFC</t>
        </is>
      </c>
      <c r="H196" t="n">
        <v>12449</v>
      </c>
      <c r="I196" t="inlineStr">
        <is>
          <t>Flat</t>
        </is>
      </c>
      <c r="J196" t="n">
        <v>41</v>
      </c>
      <c r="K196" t="inlineStr">
        <is>
          <t>Flat</t>
        </is>
      </c>
      <c r="L196" t="n">
        <v>220</v>
      </c>
      <c r="M196" t="inlineStr">
        <is>
          <t>Flat</t>
        </is>
      </c>
      <c r="N196" t="n">
        <v>43</v>
      </c>
      <c r="O196" t="inlineStr">
        <is>
          <t>PENDING</t>
        </is>
      </c>
      <c r="P196" t="inlineStr">
        <is>
          <t>NOT_CAPTURED</t>
        </is>
      </c>
    </row>
    <row r="197">
      <c r="A197" t="inlineStr">
        <is>
          <t>ORD0196</t>
        </is>
      </c>
      <c r="B197" t="inlineStr">
        <is>
          <t>07-02-2026</t>
        </is>
      </c>
      <c r="C197" t="inlineStr">
        <is>
          <t>Student_196</t>
        </is>
      </c>
      <c r="D197" t="inlineStr">
        <is>
          <t>ERP_B</t>
        </is>
      </c>
      <c r="E197" t="inlineStr">
        <is>
          <t>Razorpay</t>
        </is>
      </c>
      <c r="F197" t="inlineStr">
        <is>
          <t>Card</t>
        </is>
      </c>
      <c r="G197" t="inlineStr">
        <is>
          <t>SBI</t>
        </is>
      </c>
      <c r="H197" t="n">
        <v>14415</v>
      </c>
      <c r="I197" t="inlineStr">
        <is>
          <t>Flat</t>
        </is>
      </c>
      <c r="J197" t="n">
        <v>49</v>
      </c>
      <c r="K197" t="inlineStr">
        <is>
          <t>Flat</t>
        </is>
      </c>
      <c r="L197" t="n">
        <v>195</v>
      </c>
      <c r="M197" t="inlineStr">
        <is>
          <t>Flat</t>
        </is>
      </c>
      <c r="N197" t="n">
        <v>35</v>
      </c>
      <c r="O197" t="inlineStr">
        <is>
          <t>SUCCESS</t>
        </is>
      </c>
      <c r="P197" t="inlineStr">
        <is>
          <t>CAPTURED</t>
        </is>
      </c>
    </row>
    <row r="198">
      <c r="A198" t="inlineStr">
        <is>
          <t>ORD0197</t>
        </is>
      </c>
      <c r="B198" t="inlineStr">
        <is>
          <t>19-02-2026</t>
        </is>
      </c>
      <c r="C198" t="inlineStr">
        <is>
          <t>Student_197</t>
        </is>
      </c>
      <c r="D198" t="inlineStr">
        <is>
          <t>ERP_A</t>
        </is>
      </c>
      <c r="E198" t="inlineStr">
        <is>
          <t>Razorpay</t>
        </is>
      </c>
      <c r="F198" t="inlineStr">
        <is>
          <t>Card</t>
        </is>
      </c>
      <c r="G198" t="inlineStr">
        <is>
          <t>HDFC</t>
        </is>
      </c>
      <c r="H198" t="n">
        <v>19344</v>
      </c>
      <c r="I198" t="inlineStr">
        <is>
          <t>%</t>
        </is>
      </c>
      <c r="J198" t="n">
        <v>1.09</v>
      </c>
      <c r="K198" t="inlineStr">
        <is>
          <t>Flat</t>
        </is>
      </c>
      <c r="L198" t="n">
        <v>157</v>
      </c>
      <c r="M198" t="inlineStr">
        <is>
          <t>Flat</t>
        </is>
      </c>
      <c r="N198" t="n">
        <v>22</v>
      </c>
      <c r="O198" t="inlineStr">
        <is>
          <t>SUCCESS</t>
        </is>
      </c>
      <c r="P198" t="inlineStr">
        <is>
          <t>CAPTURED</t>
        </is>
      </c>
    </row>
    <row r="199">
      <c r="A199" t="inlineStr">
        <is>
          <t>ORD0198</t>
        </is>
      </c>
      <c r="B199" t="inlineStr">
        <is>
          <t>15-02-2026</t>
        </is>
      </c>
      <c r="C199" t="inlineStr">
        <is>
          <t>Student_198</t>
        </is>
      </c>
      <c r="D199" t="inlineStr">
        <is>
          <t>ERP_C</t>
        </is>
      </c>
      <c r="E199" t="inlineStr">
        <is>
          <t>Razorpay</t>
        </is>
      </c>
      <c r="F199" t="inlineStr">
        <is>
          <t>Card</t>
        </is>
      </c>
      <c r="G199" t="inlineStr">
        <is>
          <t>SBI</t>
        </is>
      </c>
      <c r="H199" t="n">
        <v>15166</v>
      </c>
      <c r="I199" t="inlineStr">
        <is>
          <t>Flat</t>
        </is>
      </c>
      <c r="J199" t="n">
        <v>45</v>
      </c>
      <c r="K199" t="inlineStr">
        <is>
          <t>Flat</t>
        </is>
      </c>
      <c r="L199" t="n">
        <v>146</v>
      </c>
      <c r="M199" t="inlineStr">
        <is>
          <t>Flat</t>
        </is>
      </c>
      <c r="N199" t="n">
        <v>65</v>
      </c>
      <c r="O199" t="inlineStr">
        <is>
          <t>SUCCESS</t>
        </is>
      </c>
      <c r="P199" t="inlineStr">
        <is>
          <t>CAPTURED</t>
        </is>
      </c>
    </row>
    <row r="200">
      <c r="A200" t="inlineStr">
        <is>
          <t>ORD0199</t>
        </is>
      </c>
      <c r="B200" t="inlineStr">
        <is>
          <t>15-01-2026</t>
        </is>
      </c>
      <c r="C200" t="inlineStr">
        <is>
          <t>Student_199</t>
        </is>
      </c>
      <c r="D200" t="inlineStr">
        <is>
          <t>ERP_A</t>
        </is>
      </c>
      <c r="E200" t="inlineStr">
        <is>
          <t>Razorpay</t>
        </is>
      </c>
      <c r="F200" t="inlineStr">
        <is>
          <t>NetBanking</t>
        </is>
      </c>
      <c r="G200" t="inlineStr">
        <is>
          <t>Axis</t>
        </is>
      </c>
      <c r="H200" t="n">
        <v>12629</v>
      </c>
      <c r="I200" t="inlineStr">
        <is>
          <t>Flat</t>
        </is>
      </c>
      <c r="J200" t="n">
        <v>72</v>
      </c>
      <c r="K200" t="inlineStr">
        <is>
          <t>Flat</t>
        </is>
      </c>
      <c r="L200" t="n">
        <v>151</v>
      </c>
      <c r="M200" t="inlineStr">
        <is>
          <t>%</t>
        </is>
      </c>
      <c r="N200" t="n">
        <v>0.53</v>
      </c>
      <c r="O200" t="inlineStr">
        <is>
          <t>FAILED</t>
        </is>
      </c>
      <c r="P200" t="inlineStr">
        <is>
          <t>NOT_CAPTURED</t>
        </is>
      </c>
    </row>
    <row r="201">
      <c r="A201" t="inlineStr">
        <is>
          <t>ORD0200</t>
        </is>
      </c>
      <c r="B201" t="inlineStr">
        <is>
          <t>26-01-2026</t>
        </is>
      </c>
      <c r="C201" t="inlineStr">
        <is>
          <t>Student_200</t>
        </is>
      </c>
      <c r="D201" t="inlineStr">
        <is>
          <t>ERP_C</t>
        </is>
      </c>
      <c r="E201" t="inlineStr">
        <is>
          <t>Razorpay</t>
        </is>
      </c>
      <c r="F201" t="inlineStr">
        <is>
          <t>NetBanking</t>
        </is>
      </c>
      <c r="G201" t="inlineStr">
        <is>
          <t>Axis</t>
        </is>
      </c>
      <c r="H201" t="n">
        <v>18478</v>
      </c>
      <c r="I201" t="inlineStr">
        <is>
          <t>Flat</t>
        </is>
      </c>
      <c r="J201" t="n">
        <v>62</v>
      </c>
      <c r="K201" t="inlineStr">
        <is>
          <t>Flat</t>
        </is>
      </c>
      <c r="L201" t="n">
        <v>164</v>
      </c>
      <c r="M201" t="inlineStr">
        <is>
          <t>%</t>
        </is>
      </c>
      <c r="N201" t="n">
        <v>0.54</v>
      </c>
      <c r="O201" t="inlineStr">
        <is>
          <t>FAILED</t>
        </is>
      </c>
      <c r="P201" t="inlineStr">
        <is>
          <t>NOT_CAPTURED</t>
        </is>
      </c>
    </row>
    <row r="202">
      <c r="A202" t="inlineStr">
        <is>
          <t>ORD0201</t>
        </is>
      </c>
      <c r="B202" t="inlineStr">
        <is>
          <t>23-02-2026</t>
        </is>
      </c>
      <c r="C202" t="inlineStr">
        <is>
          <t>Student_201</t>
        </is>
      </c>
      <c r="D202" t="inlineStr">
        <is>
          <t>ERP_B</t>
        </is>
      </c>
      <c r="E202" t="inlineStr">
        <is>
          <t>Cashfree</t>
        </is>
      </c>
      <c r="F202" t="inlineStr">
        <is>
          <t>Card</t>
        </is>
      </c>
      <c r="G202" t="inlineStr">
        <is>
          <t>Axis</t>
        </is>
      </c>
      <c r="H202" t="n">
        <v>12327</v>
      </c>
      <c r="I202" t="inlineStr">
        <is>
          <t>%</t>
        </is>
      </c>
      <c r="J202" t="n">
        <v>1.03</v>
      </c>
      <c r="K202" t="inlineStr">
        <is>
          <t>%</t>
        </is>
      </c>
      <c r="L202" t="n">
        <v>1.4</v>
      </c>
      <c r="M202" t="inlineStr">
        <is>
          <t>%</t>
        </is>
      </c>
      <c r="N202" t="n">
        <v>0.8</v>
      </c>
      <c r="O202" t="inlineStr">
        <is>
          <t>PENDING</t>
        </is>
      </c>
      <c r="P202" t="inlineStr">
        <is>
          <t>NOT_CAPTURED</t>
        </is>
      </c>
    </row>
    <row r="203">
      <c r="A203" t="inlineStr">
        <is>
          <t>ORD0202</t>
        </is>
      </c>
      <c r="B203" t="inlineStr">
        <is>
          <t>22-01-2026</t>
        </is>
      </c>
      <c r="C203" t="inlineStr">
        <is>
          <t>Student_202</t>
        </is>
      </c>
      <c r="D203" t="inlineStr">
        <is>
          <t>ERP_A</t>
        </is>
      </c>
      <c r="E203" t="inlineStr">
        <is>
          <t>PayU</t>
        </is>
      </c>
      <c r="F203" t="inlineStr">
        <is>
          <t>Wallet</t>
        </is>
      </c>
      <c r="G203" t="inlineStr">
        <is>
          <t>SBI</t>
        </is>
      </c>
      <c r="H203" t="n">
        <v>5837</v>
      </c>
      <c r="I203" t="inlineStr">
        <is>
          <t>Flat</t>
        </is>
      </c>
      <c r="J203" t="n">
        <v>27</v>
      </c>
      <c r="K203" t="inlineStr">
        <is>
          <t>Flat</t>
        </is>
      </c>
      <c r="L203" t="n">
        <v>138</v>
      </c>
      <c r="M203" t="inlineStr">
        <is>
          <t>Flat</t>
        </is>
      </c>
      <c r="N203" t="n">
        <v>80</v>
      </c>
      <c r="O203" t="inlineStr">
        <is>
          <t>FAILED</t>
        </is>
      </c>
      <c r="P203" t="inlineStr">
        <is>
          <t>NOT_CAPTURED</t>
        </is>
      </c>
    </row>
    <row r="204">
      <c r="A204" t="inlineStr">
        <is>
          <t>ORD0203</t>
        </is>
      </c>
      <c r="B204" t="inlineStr">
        <is>
          <t>10-02-2026</t>
        </is>
      </c>
      <c r="C204" t="inlineStr">
        <is>
          <t>Student_203</t>
        </is>
      </c>
      <c r="D204" t="inlineStr">
        <is>
          <t>ERP_B</t>
        </is>
      </c>
      <c r="E204" t="inlineStr">
        <is>
          <t>PayU</t>
        </is>
      </c>
      <c r="F204" t="inlineStr">
        <is>
          <t>Card</t>
        </is>
      </c>
      <c r="G204" t="inlineStr">
        <is>
          <t>ICICI</t>
        </is>
      </c>
      <c r="H204" t="n">
        <v>14793</v>
      </c>
      <c r="I204" t="inlineStr">
        <is>
          <t>%</t>
        </is>
      </c>
      <c r="J204" t="n">
        <v>1.18</v>
      </c>
      <c r="K204" t="inlineStr">
        <is>
          <t>%</t>
        </is>
      </c>
      <c r="L204" t="n">
        <v>1.86</v>
      </c>
      <c r="M204" t="inlineStr">
        <is>
          <t>%</t>
        </is>
      </c>
      <c r="N204" t="n">
        <v>0.74</v>
      </c>
      <c r="O204" t="inlineStr">
        <is>
          <t>SUCCESS</t>
        </is>
      </c>
      <c r="P204" t="inlineStr">
        <is>
          <t>CAPTURED</t>
        </is>
      </c>
    </row>
    <row r="205">
      <c r="A205" t="inlineStr">
        <is>
          <t>ORD0204</t>
        </is>
      </c>
      <c r="B205" t="inlineStr">
        <is>
          <t>31-01-2026</t>
        </is>
      </c>
      <c r="C205" t="inlineStr">
        <is>
          <t>Student_204</t>
        </is>
      </c>
      <c r="D205" t="inlineStr">
        <is>
          <t>ERP_B</t>
        </is>
      </c>
      <c r="E205" t="inlineStr">
        <is>
          <t>Razorpay</t>
        </is>
      </c>
      <c r="F205" t="inlineStr">
        <is>
          <t>UPI</t>
        </is>
      </c>
      <c r="G205" t="inlineStr">
        <is>
          <t>HDFC</t>
        </is>
      </c>
      <c r="H205" t="n">
        <v>12654</v>
      </c>
      <c r="I205" t="inlineStr">
        <is>
          <t>Flat</t>
        </is>
      </c>
      <c r="J205" t="n">
        <v>77</v>
      </c>
      <c r="K205" t="inlineStr">
        <is>
          <t>%</t>
        </is>
      </c>
      <c r="L205" t="n">
        <v>1.85</v>
      </c>
      <c r="M205" t="inlineStr">
        <is>
          <t>Flat</t>
        </is>
      </c>
      <c r="N205" t="n">
        <v>58</v>
      </c>
      <c r="O205" t="inlineStr">
        <is>
          <t>PENDING</t>
        </is>
      </c>
      <c r="P205" t="inlineStr">
        <is>
          <t>NOT_CAPTURED</t>
        </is>
      </c>
    </row>
    <row r="206">
      <c r="A206" t="inlineStr">
        <is>
          <t>ORD0205</t>
        </is>
      </c>
      <c r="B206" t="inlineStr">
        <is>
          <t>14-01-2026</t>
        </is>
      </c>
      <c r="C206" t="inlineStr">
        <is>
          <t>Student_205</t>
        </is>
      </c>
      <c r="D206" t="inlineStr">
        <is>
          <t>ERP_B</t>
        </is>
      </c>
      <c r="E206" t="inlineStr">
        <is>
          <t>PayU</t>
        </is>
      </c>
      <c r="F206" t="inlineStr">
        <is>
          <t>Card</t>
        </is>
      </c>
      <c r="G206" t="inlineStr">
        <is>
          <t>ICICI</t>
        </is>
      </c>
      <c r="H206" t="n">
        <v>17733</v>
      </c>
      <c r="I206" t="inlineStr">
        <is>
          <t>Flat</t>
        </is>
      </c>
      <c r="J206" t="n">
        <v>66</v>
      </c>
      <c r="K206" t="inlineStr">
        <is>
          <t>%</t>
        </is>
      </c>
      <c r="L206" t="n">
        <v>1.58</v>
      </c>
      <c r="M206" t="inlineStr">
        <is>
          <t>%</t>
        </is>
      </c>
      <c r="N206" t="n">
        <v>0.92</v>
      </c>
      <c r="O206" t="inlineStr">
        <is>
          <t>PENDING</t>
        </is>
      </c>
      <c r="P206" t="inlineStr">
        <is>
          <t>NOT_CAPTURED</t>
        </is>
      </c>
    </row>
    <row r="207">
      <c r="A207" t="inlineStr">
        <is>
          <t>ORD0206</t>
        </is>
      </c>
      <c r="B207" t="inlineStr">
        <is>
          <t>24-01-2026</t>
        </is>
      </c>
      <c r="C207" t="inlineStr">
        <is>
          <t>Student_206</t>
        </is>
      </c>
      <c r="D207" t="inlineStr">
        <is>
          <t>ERP_C</t>
        </is>
      </c>
      <c r="E207" t="inlineStr">
        <is>
          <t>Cashfree</t>
        </is>
      </c>
      <c r="F207" t="inlineStr">
        <is>
          <t>UPI</t>
        </is>
      </c>
      <c r="G207" t="inlineStr">
        <is>
          <t>SBI</t>
        </is>
      </c>
      <c r="H207" t="n">
        <v>6391</v>
      </c>
      <c r="I207" t="inlineStr">
        <is>
          <t>%</t>
        </is>
      </c>
      <c r="J207" t="n">
        <v>1.14</v>
      </c>
      <c r="K207" t="inlineStr">
        <is>
          <t>Flat</t>
        </is>
      </c>
      <c r="L207" t="n">
        <v>240</v>
      </c>
      <c r="M207" t="inlineStr">
        <is>
          <t>Flat</t>
        </is>
      </c>
      <c r="N207" t="n">
        <v>55</v>
      </c>
      <c r="O207" t="inlineStr">
        <is>
          <t>FAILED</t>
        </is>
      </c>
      <c r="P207" t="inlineStr">
        <is>
          <t>NOT_CAPTURED</t>
        </is>
      </c>
    </row>
    <row r="208">
      <c r="A208" t="inlineStr">
        <is>
          <t>ORD0207</t>
        </is>
      </c>
      <c r="B208" t="inlineStr">
        <is>
          <t>10-01-2026</t>
        </is>
      </c>
      <c r="C208" t="inlineStr">
        <is>
          <t>Student_207</t>
        </is>
      </c>
      <c r="D208" t="inlineStr">
        <is>
          <t>ERP_B</t>
        </is>
      </c>
      <c r="E208" t="inlineStr">
        <is>
          <t>PayU</t>
        </is>
      </c>
      <c r="F208" t="inlineStr">
        <is>
          <t>Card</t>
        </is>
      </c>
      <c r="G208" t="inlineStr">
        <is>
          <t>Axis</t>
        </is>
      </c>
      <c r="H208" t="n">
        <v>18193</v>
      </c>
      <c r="I208" t="inlineStr">
        <is>
          <t>Flat</t>
        </is>
      </c>
      <c r="J208" t="n">
        <v>72</v>
      </c>
      <c r="K208" t="inlineStr">
        <is>
          <t>%</t>
        </is>
      </c>
      <c r="L208" t="n">
        <v>1.64</v>
      </c>
      <c r="M208" t="inlineStr">
        <is>
          <t>Flat</t>
        </is>
      </c>
      <c r="N208" t="n">
        <v>20</v>
      </c>
      <c r="O208" t="inlineStr">
        <is>
          <t>PENDING</t>
        </is>
      </c>
      <c r="P208" t="inlineStr">
        <is>
          <t>NOT_CAPTURED</t>
        </is>
      </c>
    </row>
    <row r="209">
      <c r="A209" t="inlineStr">
        <is>
          <t>ORD0208</t>
        </is>
      </c>
      <c r="B209" t="inlineStr">
        <is>
          <t>24-02-2026</t>
        </is>
      </c>
      <c r="C209" t="inlineStr">
        <is>
          <t>Student_208</t>
        </is>
      </c>
      <c r="D209" t="inlineStr">
        <is>
          <t>ERP_A</t>
        </is>
      </c>
      <c r="E209" t="inlineStr">
        <is>
          <t>Razorpay</t>
        </is>
      </c>
      <c r="F209" t="inlineStr">
        <is>
          <t>Card</t>
        </is>
      </c>
      <c r="G209" t="inlineStr">
        <is>
          <t>Axis</t>
        </is>
      </c>
      <c r="H209" t="n">
        <v>9395</v>
      </c>
      <c r="I209" t="inlineStr">
        <is>
          <t>Flat</t>
        </is>
      </c>
      <c r="J209" t="n">
        <v>46</v>
      </c>
      <c r="K209" t="inlineStr">
        <is>
          <t>Flat</t>
        </is>
      </c>
      <c r="L209" t="n">
        <v>51</v>
      </c>
      <c r="M209" t="inlineStr">
        <is>
          <t>Flat</t>
        </is>
      </c>
      <c r="N209" t="n">
        <v>74</v>
      </c>
      <c r="O209" t="inlineStr">
        <is>
          <t>SUCCESS</t>
        </is>
      </c>
      <c r="P209" t="inlineStr">
        <is>
          <t>CAPTURED</t>
        </is>
      </c>
    </row>
    <row r="210">
      <c r="A210" t="inlineStr">
        <is>
          <t>ORD0209</t>
        </is>
      </c>
      <c r="B210" t="inlineStr">
        <is>
          <t>20-02-2026</t>
        </is>
      </c>
      <c r="C210" t="inlineStr">
        <is>
          <t>Student_209</t>
        </is>
      </c>
      <c r="D210" t="inlineStr">
        <is>
          <t>ERP_C</t>
        </is>
      </c>
      <c r="E210" t="inlineStr">
        <is>
          <t>PayU</t>
        </is>
      </c>
      <c r="F210" t="inlineStr">
        <is>
          <t>Card</t>
        </is>
      </c>
      <c r="G210" t="inlineStr">
        <is>
          <t>HDFC</t>
        </is>
      </c>
      <c r="H210" t="n">
        <v>2813</v>
      </c>
      <c r="I210" t="inlineStr">
        <is>
          <t>Flat</t>
        </is>
      </c>
      <c r="J210" t="n">
        <v>63</v>
      </c>
      <c r="K210" t="inlineStr">
        <is>
          <t>Flat</t>
        </is>
      </c>
      <c r="L210" t="n">
        <v>130</v>
      </c>
      <c r="M210" t="inlineStr">
        <is>
          <t>Flat</t>
        </is>
      </c>
      <c r="N210" t="n">
        <v>75</v>
      </c>
      <c r="O210" t="inlineStr">
        <is>
          <t>SUCCESS</t>
        </is>
      </c>
      <c r="P210" t="inlineStr">
        <is>
          <t>CAPTURED</t>
        </is>
      </c>
    </row>
    <row r="211">
      <c r="A211" t="inlineStr">
        <is>
          <t>ORD0210</t>
        </is>
      </c>
      <c r="B211" t="inlineStr">
        <is>
          <t>07-01-2026</t>
        </is>
      </c>
      <c r="C211" t="inlineStr">
        <is>
          <t>Student_210</t>
        </is>
      </c>
      <c r="D211" t="inlineStr">
        <is>
          <t>ERP_B</t>
        </is>
      </c>
      <c r="E211" t="inlineStr">
        <is>
          <t>PayU</t>
        </is>
      </c>
      <c r="F211" t="inlineStr">
        <is>
          <t>Card</t>
        </is>
      </c>
      <c r="G211" t="inlineStr">
        <is>
          <t>ICICI</t>
        </is>
      </c>
      <c r="H211" t="n">
        <v>7656</v>
      </c>
      <c r="I211" t="inlineStr">
        <is>
          <t>%</t>
        </is>
      </c>
      <c r="J211" t="n">
        <v>0.97</v>
      </c>
      <c r="K211" t="inlineStr">
        <is>
          <t>Flat</t>
        </is>
      </c>
      <c r="L211" t="n">
        <v>212</v>
      </c>
      <c r="M211" t="inlineStr">
        <is>
          <t>Flat</t>
        </is>
      </c>
      <c r="N211" t="n">
        <v>41</v>
      </c>
      <c r="O211" t="inlineStr">
        <is>
          <t>SUCCESS</t>
        </is>
      </c>
      <c r="P211" t="inlineStr">
        <is>
          <t>CAPTURED</t>
        </is>
      </c>
    </row>
    <row r="212">
      <c r="A212" t="inlineStr">
        <is>
          <t>ORD0211</t>
        </is>
      </c>
      <c r="B212" t="inlineStr">
        <is>
          <t>11-01-2026</t>
        </is>
      </c>
      <c r="C212" t="inlineStr">
        <is>
          <t>Student_211</t>
        </is>
      </c>
      <c r="D212" t="inlineStr">
        <is>
          <t>ERP_C</t>
        </is>
      </c>
      <c r="E212" t="inlineStr">
        <is>
          <t>PayU</t>
        </is>
      </c>
      <c r="F212" t="inlineStr">
        <is>
          <t>Card</t>
        </is>
      </c>
      <c r="G212" t="inlineStr">
        <is>
          <t>SBI</t>
        </is>
      </c>
      <c r="H212" t="n">
        <v>14521</v>
      </c>
      <c r="I212" t="inlineStr">
        <is>
          <t>Flat</t>
        </is>
      </c>
      <c r="J212" t="n">
        <v>49</v>
      </c>
      <c r="K212" t="inlineStr">
        <is>
          <t>%</t>
        </is>
      </c>
      <c r="L212" t="n">
        <v>1.8</v>
      </c>
      <c r="M212" t="inlineStr">
        <is>
          <t>Flat</t>
        </is>
      </c>
      <c r="N212" t="n">
        <v>39</v>
      </c>
      <c r="O212" t="inlineStr">
        <is>
          <t>FAILED</t>
        </is>
      </c>
      <c r="P212" t="inlineStr">
        <is>
          <t>NOT_CAPTURED</t>
        </is>
      </c>
    </row>
    <row r="213">
      <c r="A213" t="inlineStr">
        <is>
          <t>ORD0212</t>
        </is>
      </c>
      <c r="B213" t="inlineStr">
        <is>
          <t>22-02-2026</t>
        </is>
      </c>
      <c r="C213" t="inlineStr">
        <is>
          <t>Student_212</t>
        </is>
      </c>
      <c r="D213" t="inlineStr">
        <is>
          <t>ERP_A</t>
        </is>
      </c>
      <c r="E213" t="inlineStr">
        <is>
          <t>PayU</t>
        </is>
      </c>
      <c r="F213" t="inlineStr">
        <is>
          <t>NetBanking</t>
        </is>
      </c>
      <c r="G213" t="inlineStr">
        <is>
          <t>ICICI</t>
        </is>
      </c>
      <c r="H213" t="n">
        <v>10385</v>
      </c>
      <c r="I213" t="inlineStr">
        <is>
          <t>Flat</t>
        </is>
      </c>
      <c r="J213" t="n">
        <v>90</v>
      </c>
      <c r="K213" t="inlineStr">
        <is>
          <t>Flat</t>
        </is>
      </c>
      <c r="L213" t="n">
        <v>227</v>
      </c>
      <c r="M213" t="inlineStr">
        <is>
          <t>%</t>
        </is>
      </c>
      <c r="N213" t="n">
        <v>0.9</v>
      </c>
      <c r="O213" t="inlineStr">
        <is>
          <t>PENDING</t>
        </is>
      </c>
      <c r="P213" t="inlineStr">
        <is>
          <t>NOT_CAPTURED</t>
        </is>
      </c>
    </row>
    <row r="214">
      <c r="A214" t="inlineStr">
        <is>
          <t>ORD0213</t>
        </is>
      </c>
      <c r="B214" t="inlineStr">
        <is>
          <t>08-02-2026</t>
        </is>
      </c>
      <c r="C214" t="inlineStr">
        <is>
          <t>Student_213</t>
        </is>
      </c>
      <c r="D214" t="inlineStr">
        <is>
          <t>ERP_C</t>
        </is>
      </c>
      <c r="E214" t="inlineStr">
        <is>
          <t>Cashfree</t>
        </is>
      </c>
      <c r="F214" t="inlineStr">
        <is>
          <t>Wallet</t>
        </is>
      </c>
      <c r="G214" t="inlineStr">
        <is>
          <t>ICICI</t>
        </is>
      </c>
      <c r="H214" t="n">
        <v>15442</v>
      </c>
      <c r="I214" t="inlineStr">
        <is>
          <t>%</t>
        </is>
      </c>
      <c r="J214" t="n">
        <v>1.34</v>
      </c>
      <c r="K214" t="inlineStr">
        <is>
          <t>%</t>
        </is>
      </c>
      <c r="L214" t="n">
        <v>1.85</v>
      </c>
      <c r="M214" t="inlineStr">
        <is>
          <t>%</t>
        </is>
      </c>
      <c r="N214" t="n">
        <v>0.71</v>
      </c>
      <c r="O214" t="inlineStr">
        <is>
          <t>SUCCESS</t>
        </is>
      </c>
      <c r="P214" t="inlineStr">
        <is>
          <t>CAPTURED</t>
        </is>
      </c>
    </row>
    <row r="215">
      <c r="A215" t="inlineStr">
        <is>
          <t>ORD0214</t>
        </is>
      </c>
      <c r="B215" t="inlineStr">
        <is>
          <t>01-01-2026</t>
        </is>
      </c>
      <c r="C215" t="inlineStr">
        <is>
          <t>Student_214</t>
        </is>
      </c>
      <c r="D215" t="inlineStr">
        <is>
          <t>ERP_A</t>
        </is>
      </c>
      <c r="E215" t="inlineStr">
        <is>
          <t>PayU</t>
        </is>
      </c>
      <c r="F215" t="inlineStr">
        <is>
          <t>NetBanking</t>
        </is>
      </c>
      <c r="G215" t="inlineStr">
        <is>
          <t>ICICI</t>
        </is>
      </c>
      <c r="H215" t="n">
        <v>5513</v>
      </c>
      <c r="I215" t="inlineStr">
        <is>
          <t>%</t>
        </is>
      </c>
      <c r="J215" t="n">
        <v>1.15</v>
      </c>
      <c r="K215" t="inlineStr">
        <is>
          <t>Flat</t>
        </is>
      </c>
      <c r="L215" t="n">
        <v>215</v>
      </c>
      <c r="M215" t="inlineStr">
        <is>
          <t>%</t>
        </is>
      </c>
      <c r="N215" t="n">
        <v>0.88</v>
      </c>
      <c r="O215" t="inlineStr">
        <is>
          <t>FAILED</t>
        </is>
      </c>
      <c r="P215" t="inlineStr">
        <is>
          <t>NOT_CAPTURED</t>
        </is>
      </c>
    </row>
    <row r="216">
      <c r="A216" t="inlineStr">
        <is>
          <t>ORD0215</t>
        </is>
      </c>
      <c r="B216" t="inlineStr">
        <is>
          <t>09-02-2026</t>
        </is>
      </c>
      <c r="C216" t="inlineStr">
        <is>
          <t>Student_215</t>
        </is>
      </c>
      <c r="D216" t="inlineStr">
        <is>
          <t>ERP_C</t>
        </is>
      </c>
      <c r="E216" t="inlineStr">
        <is>
          <t>Cashfree</t>
        </is>
      </c>
      <c r="F216" t="inlineStr">
        <is>
          <t>UPI</t>
        </is>
      </c>
      <c r="G216" t="inlineStr">
        <is>
          <t>HDFC</t>
        </is>
      </c>
      <c r="H216" t="n">
        <v>10153</v>
      </c>
      <c r="I216" t="inlineStr">
        <is>
          <t>%</t>
        </is>
      </c>
      <c r="J216" t="n">
        <v>1.32</v>
      </c>
      <c r="K216" t="inlineStr">
        <is>
          <t>%</t>
        </is>
      </c>
      <c r="L216" t="n">
        <v>1.9</v>
      </c>
      <c r="M216" t="inlineStr">
        <is>
          <t>%</t>
        </is>
      </c>
      <c r="N216" t="n">
        <v>0.74</v>
      </c>
      <c r="O216" t="inlineStr">
        <is>
          <t>SUCCESS</t>
        </is>
      </c>
      <c r="P216" t="inlineStr">
        <is>
          <t>CAPTURED</t>
        </is>
      </c>
    </row>
    <row r="217">
      <c r="A217" t="inlineStr">
        <is>
          <t>ORD0216</t>
        </is>
      </c>
      <c r="B217" t="inlineStr">
        <is>
          <t>14-02-2026</t>
        </is>
      </c>
      <c r="C217" t="inlineStr">
        <is>
          <t>Student_216</t>
        </is>
      </c>
      <c r="D217" t="inlineStr">
        <is>
          <t>ERP_A</t>
        </is>
      </c>
      <c r="E217" t="inlineStr">
        <is>
          <t>PayU</t>
        </is>
      </c>
      <c r="F217" t="inlineStr">
        <is>
          <t>Card</t>
        </is>
      </c>
      <c r="G217" t="inlineStr">
        <is>
          <t>HDFC</t>
        </is>
      </c>
      <c r="H217" t="n">
        <v>14527</v>
      </c>
      <c r="I217" t="inlineStr">
        <is>
          <t>Flat</t>
        </is>
      </c>
      <c r="J217" t="n">
        <v>34</v>
      </c>
      <c r="K217" t="inlineStr">
        <is>
          <t>%</t>
        </is>
      </c>
      <c r="L217" t="n">
        <v>1.62</v>
      </c>
      <c r="M217" t="inlineStr">
        <is>
          <t>%</t>
        </is>
      </c>
      <c r="N217" t="n">
        <v>0.89</v>
      </c>
      <c r="O217" t="inlineStr">
        <is>
          <t>SUCCESS</t>
        </is>
      </c>
      <c r="P217" t="inlineStr">
        <is>
          <t>CAPTURED</t>
        </is>
      </c>
    </row>
    <row r="218">
      <c r="A218" t="inlineStr">
        <is>
          <t>ORD0217</t>
        </is>
      </c>
      <c r="B218" t="inlineStr">
        <is>
          <t>26-02-2026</t>
        </is>
      </c>
      <c r="C218" t="inlineStr">
        <is>
          <t>Student_217</t>
        </is>
      </c>
      <c r="D218" t="inlineStr">
        <is>
          <t>ERP_C</t>
        </is>
      </c>
      <c r="E218" t="inlineStr">
        <is>
          <t>PayU</t>
        </is>
      </c>
      <c r="F218" t="inlineStr">
        <is>
          <t>UPI</t>
        </is>
      </c>
      <c r="G218" t="inlineStr">
        <is>
          <t>Axis</t>
        </is>
      </c>
      <c r="H218" t="n">
        <v>9432</v>
      </c>
      <c r="I218" t="inlineStr">
        <is>
          <t>Flat</t>
        </is>
      </c>
      <c r="J218" t="n">
        <v>94</v>
      </c>
      <c r="K218" t="inlineStr">
        <is>
          <t>Flat</t>
        </is>
      </c>
      <c r="L218" t="n">
        <v>59</v>
      </c>
      <c r="M218" t="inlineStr">
        <is>
          <t>%</t>
        </is>
      </c>
      <c r="N218" t="n">
        <v>0.86</v>
      </c>
      <c r="O218" t="inlineStr">
        <is>
          <t>SUCCESS</t>
        </is>
      </c>
      <c r="P218" t="inlineStr">
        <is>
          <t>CAPTURED</t>
        </is>
      </c>
    </row>
    <row r="219">
      <c r="A219" t="inlineStr">
        <is>
          <t>ORD0218</t>
        </is>
      </c>
      <c r="B219" t="inlineStr">
        <is>
          <t>12-02-2026</t>
        </is>
      </c>
      <c r="C219" t="inlineStr">
        <is>
          <t>Student_218</t>
        </is>
      </c>
      <c r="D219" t="inlineStr">
        <is>
          <t>ERP_A</t>
        </is>
      </c>
      <c r="E219" t="inlineStr">
        <is>
          <t>PayU</t>
        </is>
      </c>
      <c r="F219" t="inlineStr">
        <is>
          <t>NetBanking</t>
        </is>
      </c>
      <c r="G219" t="inlineStr">
        <is>
          <t>HDFC</t>
        </is>
      </c>
      <c r="H219" t="n">
        <v>1283</v>
      </c>
      <c r="I219" t="inlineStr">
        <is>
          <t>Flat</t>
        </is>
      </c>
      <c r="J219" t="n">
        <v>85</v>
      </c>
      <c r="K219" t="inlineStr">
        <is>
          <t>Flat</t>
        </is>
      </c>
      <c r="L219" t="n">
        <v>166</v>
      </c>
      <c r="M219" t="inlineStr">
        <is>
          <t>%</t>
        </is>
      </c>
      <c r="N219" t="n">
        <v>0.92</v>
      </c>
      <c r="O219" t="inlineStr">
        <is>
          <t>PENDING</t>
        </is>
      </c>
      <c r="P219" t="inlineStr">
        <is>
          <t>NOT_CAPTURED</t>
        </is>
      </c>
    </row>
    <row r="220">
      <c r="A220" t="inlineStr">
        <is>
          <t>ORD0219</t>
        </is>
      </c>
      <c r="B220" t="inlineStr">
        <is>
          <t>07-02-2026</t>
        </is>
      </c>
      <c r="C220" t="inlineStr">
        <is>
          <t>Student_219</t>
        </is>
      </c>
      <c r="D220" t="inlineStr">
        <is>
          <t>ERP_C</t>
        </is>
      </c>
      <c r="E220" t="inlineStr">
        <is>
          <t>Cashfree</t>
        </is>
      </c>
      <c r="F220" t="inlineStr">
        <is>
          <t>UPI</t>
        </is>
      </c>
      <c r="G220" t="inlineStr">
        <is>
          <t>HDFC</t>
        </is>
      </c>
      <c r="H220" t="n">
        <v>17797</v>
      </c>
      <c r="I220" t="inlineStr">
        <is>
          <t>%</t>
        </is>
      </c>
      <c r="J220" t="n">
        <v>1.11</v>
      </c>
      <c r="K220" t="inlineStr">
        <is>
          <t>Flat</t>
        </is>
      </c>
      <c r="L220" t="n">
        <v>140</v>
      </c>
      <c r="M220" t="inlineStr">
        <is>
          <t>Flat</t>
        </is>
      </c>
      <c r="N220" t="n">
        <v>25</v>
      </c>
      <c r="O220" t="inlineStr">
        <is>
          <t>SUCCESS</t>
        </is>
      </c>
      <c r="P220" t="inlineStr">
        <is>
          <t>CAPTURED</t>
        </is>
      </c>
    </row>
    <row r="221">
      <c r="A221" t="inlineStr">
        <is>
          <t>ORD0220</t>
        </is>
      </c>
      <c r="B221" t="inlineStr">
        <is>
          <t>01-02-2026</t>
        </is>
      </c>
      <c r="C221" t="inlineStr">
        <is>
          <t>Student_220</t>
        </is>
      </c>
      <c r="D221" t="inlineStr">
        <is>
          <t>ERP_B</t>
        </is>
      </c>
      <c r="E221" t="inlineStr">
        <is>
          <t>Cashfree</t>
        </is>
      </c>
      <c r="F221" t="inlineStr">
        <is>
          <t>NetBanking</t>
        </is>
      </c>
      <c r="G221" t="inlineStr">
        <is>
          <t>SBI</t>
        </is>
      </c>
      <c r="H221" t="n">
        <v>6413</v>
      </c>
      <c r="I221" t="inlineStr">
        <is>
          <t>%</t>
        </is>
      </c>
      <c r="J221" t="n">
        <v>1.14</v>
      </c>
      <c r="K221" t="inlineStr">
        <is>
          <t>Flat</t>
        </is>
      </c>
      <c r="L221" t="n">
        <v>170</v>
      </c>
      <c r="M221" t="inlineStr">
        <is>
          <t>%</t>
        </is>
      </c>
      <c r="N221" t="n">
        <v>0.97</v>
      </c>
      <c r="O221" t="inlineStr">
        <is>
          <t>FAILED</t>
        </is>
      </c>
      <c r="P221" t="inlineStr">
        <is>
          <t>NOT_CAPTURED</t>
        </is>
      </c>
    </row>
    <row r="222">
      <c r="A222" t="inlineStr">
        <is>
          <t>ORD0221</t>
        </is>
      </c>
      <c r="B222" t="inlineStr">
        <is>
          <t>11-02-2026</t>
        </is>
      </c>
      <c r="C222" t="inlineStr">
        <is>
          <t>Student_221</t>
        </is>
      </c>
      <c r="D222" t="inlineStr">
        <is>
          <t>ERP_C</t>
        </is>
      </c>
      <c r="E222" t="inlineStr">
        <is>
          <t>PayU</t>
        </is>
      </c>
      <c r="F222" t="inlineStr">
        <is>
          <t>Card</t>
        </is>
      </c>
      <c r="G222" t="inlineStr">
        <is>
          <t>Axis</t>
        </is>
      </c>
      <c r="H222" t="n">
        <v>9667</v>
      </c>
      <c r="I222" t="inlineStr">
        <is>
          <t>Flat</t>
        </is>
      </c>
      <c r="J222" t="n">
        <v>58</v>
      </c>
      <c r="K222" t="inlineStr">
        <is>
          <t>%</t>
        </is>
      </c>
      <c r="L222" t="n">
        <v>1.21</v>
      </c>
      <c r="M222" t="inlineStr">
        <is>
          <t>%</t>
        </is>
      </c>
      <c r="N222" t="n">
        <v>0.83</v>
      </c>
      <c r="O222" t="inlineStr">
        <is>
          <t>PENDING</t>
        </is>
      </c>
      <c r="P222" t="inlineStr">
        <is>
          <t>NOT_CAPTURED</t>
        </is>
      </c>
    </row>
    <row r="223">
      <c r="A223" t="inlineStr">
        <is>
          <t>ORD0222</t>
        </is>
      </c>
      <c r="B223" t="inlineStr">
        <is>
          <t>03-01-2026</t>
        </is>
      </c>
      <c r="C223" t="inlineStr">
        <is>
          <t>Student_222</t>
        </is>
      </c>
      <c r="D223" t="inlineStr">
        <is>
          <t>ERP_B</t>
        </is>
      </c>
      <c r="E223" t="inlineStr">
        <is>
          <t>Razorpay</t>
        </is>
      </c>
      <c r="F223" t="inlineStr">
        <is>
          <t>Wallet</t>
        </is>
      </c>
      <c r="G223" t="inlineStr">
        <is>
          <t>ICICI</t>
        </is>
      </c>
      <c r="H223" t="n">
        <v>10188</v>
      </c>
      <c r="I223" t="inlineStr">
        <is>
          <t>%</t>
        </is>
      </c>
      <c r="J223" t="n">
        <v>1.21</v>
      </c>
      <c r="K223" t="inlineStr">
        <is>
          <t>%</t>
        </is>
      </c>
      <c r="L223" t="n">
        <v>1.22</v>
      </c>
      <c r="M223" t="inlineStr">
        <is>
          <t>Flat</t>
        </is>
      </c>
      <c r="N223" t="n">
        <v>29</v>
      </c>
      <c r="O223" t="inlineStr">
        <is>
          <t>PENDING</t>
        </is>
      </c>
      <c r="P223" t="inlineStr">
        <is>
          <t>NOT_CAPTURED</t>
        </is>
      </c>
    </row>
    <row r="224">
      <c r="A224" t="inlineStr">
        <is>
          <t>ORD0223</t>
        </is>
      </c>
      <c r="B224" t="inlineStr">
        <is>
          <t>10-02-2026</t>
        </is>
      </c>
      <c r="C224" t="inlineStr">
        <is>
          <t>Student_223</t>
        </is>
      </c>
      <c r="D224" t="inlineStr">
        <is>
          <t>ERP_C</t>
        </is>
      </c>
      <c r="E224" t="inlineStr">
        <is>
          <t>Cashfree</t>
        </is>
      </c>
      <c r="F224" t="inlineStr">
        <is>
          <t>Card</t>
        </is>
      </c>
      <c r="G224" t="inlineStr">
        <is>
          <t>ICICI</t>
        </is>
      </c>
      <c r="H224" t="n">
        <v>15339</v>
      </c>
      <c r="I224" t="inlineStr">
        <is>
          <t>Flat</t>
        </is>
      </c>
      <c r="J224" t="n">
        <v>72</v>
      </c>
      <c r="K224" t="inlineStr">
        <is>
          <t>%</t>
        </is>
      </c>
      <c r="L224" t="n">
        <v>1.66</v>
      </c>
      <c r="M224" t="inlineStr">
        <is>
          <t>Flat</t>
        </is>
      </c>
      <c r="N224" t="n">
        <v>75</v>
      </c>
      <c r="O224" t="inlineStr">
        <is>
          <t>SUCCESS</t>
        </is>
      </c>
      <c r="P224" t="inlineStr">
        <is>
          <t>CAPTURED</t>
        </is>
      </c>
    </row>
    <row r="225">
      <c r="A225" t="inlineStr">
        <is>
          <t>ORD0224</t>
        </is>
      </c>
      <c r="B225" t="inlineStr">
        <is>
          <t>05-02-2026</t>
        </is>
      </c>
      <c r="C225" t="inlineStr">
        <is>
          <t>Student_224</t>
        </is>
      </c>
      <c r="D225" t="inlineStr">
        <is>
          <t>ERP_A</t>
        </is>
      </c>
      <c r="E225" t="inlineStr">
        <is>
          <t>Cashfree</t>
        </is>
      </c>
      <c r="F225" t="inlineStr">
        <is>
          <t>Wallet</t>
        </is>
      </c>
      <c r="G225" t="inlineStr">
        <is>
          <t>HDFC</t>
        </is>
      </c>
      <c r="H225" t="n">
        <v>12403</v>
      </c>
      <c r="I225" t="inlineStr">
        <is>
          <t>%</t>
        </is>
      </c>
      <c r="J225" t="n">
        <v>1</v>
      </c>
      <c r="K225" t="inlineStr">
        <is>
          <t>%</t>
        </is>
      </c>
      <c r="L225" t="n">
        <v>1.44</v>
      </c>
      <c r="M225" t="inlineStr">
        <is>
          <t>Flat</t>
        </is>
      </c>
      <c r="N225" t="n">
        <v>51</v>
      </c>
      <c r="O225" t="inlineStr">
        <is>
          <t>FAILED</t>
        </is>
      </c>
      <c r="P225" t="inlineStr">
        <is>
          <t>NOT_CAPTURED</t>
        </is>
      </c>
    </row>
    <row r="226">
      <c r="A226" t="inlineStr">
        <is>
          <t>ORD0225</t>
        </is>
      </c>
      <c r="B226" t="inlineStr">
        <is>
          <t>20-01-2026</t>
        </is>
      </c>
      <c r="C226" t="inlineStr">
        <is>
          <t>Student_225</t>
        </is>
      </c>
      <c r="D226" t="inlineStr">
        <is>
          <t>ERP_B</t>
        </is>
      </c>
      <c r="E226" t="inlineStr">
        <is>
          <t>Cashfree</t>
        </is>
      </c>
      <c r="F226" t="inlineStr">
        <is>
          <t>UPI</t>
        </is>
      </c>
      <c r="G226" t="inlineStr">
        <is>
          <t>HDFC</t>
        </is>
      </c>
      <c r="H226" t="n">
        <v>1566</v>
      </c>
      <c r="I226" t="inlineStr">
        <is>
          <t>%</t>
        </is>
      </c>
      <c r="J226" t="n">
        <v>0.93</v>
      </c>
      <c r="K226" t="inlineStr">
        <is>
          <t>%</t>
        </is>
      </c>
      <c r="L226" t="n">
        <v>1.85</v>
      </c>
      <c r="M226" t="inlineStr">
        <is>
          <t>Flat</t>
        </is>
      </c>
      <c r="N226" t="n">
        <v>15</v>
      </c>
      <c r="O226" t="inlineStr">
        <is>
          <t>PENDING</t>
        </is>
      </c>
      <c r="P226" t="inlineStr">
        <is>
          <t>NOT_CAPTURED</t>
        </is>
      </c>
    </row>
    <row r="227">
      <c r="A227" t="inlineStr">
        <is>
          <t>ORD0226</t>
        </is>
      </c>
      <c r="B227" t="inlineStr">
        <is>
          <t>16-01-2026</t>
        </is>
      </c>
      <c r="C227" t="inlineStr">
        <is>
          <t>Student_226</t>
        </is>
      </c>
      <c r="D227" t="inlineStr">
        <is>
          <t>ERP_C</t>
        </is>
      </c>
      <c r="E227" t="inlineStr">
        <is>
          <t>Cashfree</t>
        </is>
      </c>
      <c r="F227" t="inlineStr">
        <is>
          <t>NetBanking</t>
        </is>
      </c>
      <c r="G227" t="inlineStr">
        <is>
          <t>HDFC</t>
        </is>
      </c>
      <c r="H227" t="n">
        <v>5521</v>
      </c>
      <c r="I227" t="inlineStr">
        <is>
          <t>%</t>
        </is>
      </c>
      <c r="J227" t="n">
        <v>1.17</v>
      </c>
      <c r="K227" t="inlineStr">
        <is>
          <t>%</t>
        </is>
      </c>
      <c r="L227" t="n">
        <v>1.96</v>
      </c>
      <c r="M227" t="inlineStr">
        <is>
          <t>Flat</t>
        </is>
      </c>
      <c r="N227" t="n">
        <v>57</v>
      </c>
      <c r="O227" t="inlineStr">
        <is>
          <t>PENDING</t>
        </is>
      </c>
      <c r="P227" t="inlineStr">
        <is>
          <t>NOT_CAPTURED</t>
        </is>
      </c>
    </row>
    <row r="228">
      <c r="A228" t="inlineStr">
        <is>
          <t>ORD0227</t>
        </is>
      </c>
      <c r="B228" t="inlineStr">
        <is>
          <t>14-02-2026</t>
        </is>
      </c>
      <c r="C228" t="inlineStr">
        <is>
          <t>Student_227</t>
        </is>
      </c>
      <c r="D228" t="inlineStr">
        <is>
          <t>ERP_A</t>
        </is>
      </c>
      <c r="E228" t="inlineStr">
        <is>
          <t>Cashfree</t>
        </is>
      </c>
      <c r="F228" t="inlineStr">
        <is>
          <t>UPI</t>
        </is>
      </c>
      <c r="G228" t="inlineStr">
        <is>
          <t>SBI</t>
        </is>
      </c>
      <c r="H228" t="n">
        <v>10583</v>
      </c>
      <c r="I228" t="inlineStr">
        <is>
          <t>Flat</t>
        </is>
      </c>
      <c r="J228" t="n">
        <v>65</v>
      </c>
      <c r="K228" t="inlineStr">
        <is>
          <t>Flat</t>
        </is>
      </c>
      <c r="L228" t="n">
        <v>241</v>
      </c>
      <c r="M228" t="inlineStr">
        <is>
          <t>Flat</t>
        </is>
      </c>
      <c r="N228" t="n">
        <v>55</v>
      </c>
      <c r="O228" t="inlineStr">
        <is>
          <t>PENDING</t>
        </is>
      </c>
      <c r="P228" t="inlineStr">
        <is>
          <t>NOT_CAPTURED</t>
        </is>
      </c>
    </row>
    <row r="229">
      <c r="A229" t="inlineStr">
        <is>
          <t>ORD0228</t>
        </is>
      </c>
      <c r="B229" t="inlineStr">
        <is>
          <t>01-01-2026</t>
        </is>
      </c>
      <c r="C229" t="inlineStr">
        <is>
          <t>Student_228</t>
        </is>
      </c>
      <c r="D229" t="inlineStr">
        <is>
          <t>ERP_B</t>
        </is>
      </c>
      <c r="E229" t="inlineStr">
        <is>
          <t>Cashfree</t>
        </is>
      </c>
      <c r="F229" t="inlineStr">
        <is>
          <t>UPI</t>
        </is>
      </c>
      <c r="G229" t="inlineStr">
        <is>
          <t>SBI</t>
        </is>
      </c>
      <c r="H229" t="n">
        <v>13210</v>
      </c>
      <c r="I229" t="inlineStr">
        <is>
          <t>%</t>
        </is>
      </c>
      <c r="J229" t="n">
        <v>1.42</v>
      </c>
      <c r="K229" t="inlineStr">
        <is>
          <t>Flat</t>
        </is>
      </c>
      <c r="L229" t="n">
        <v>210</v>
      </c>
      <c r="M229" t="inlineStr">
        <is>
          <t>Flat</t>
        </is>
      </c>
      <c r="N229" t="n">
        <v>19</v>
      </c>
      <c r="O229" t="inlineStr">
        <is>
          <t>SUCCESS</t>
        </is>
      </c>
      <c r="P229" t="inlineStr">
        <is>
          <t>CAPTURED</t>
        </is>
      </c>
    </row>
    <row r="230">
      <c r="A230" t="inlineStr">
        <is>
          <t>ORD0229</t>
        </is>
      </c>
      <c r="B230" t="inlineStr">
        <is>
          <t>05-01-2026</t>
        </is>
      </c>
      <c r="C230" t="inlineStr">
        <is>
          <t>Student_229</t>
        </is>
      </c>
      <c r="D230" t="inlineStr">
        <is>
          <t>ERP_C</t>
        </is>
      </c>
      <c r="E230" t="inlineStr">
        <is>
          <t>Razorpay</t>
        </is>
      </c>
      <c r="F230" t="inlineStr">
        <is>
          <t>Card</t>
        </is>
      </c>
      <c r="G230" t="inlineStr">
        <is>
          <t>ICICI</t>
        </is>
      </c>
      <c r="H230" t="n">
        <v>3784</v>
      </c>
      <c r="I230" t="inlineStr">
        <is>
          <t>Flat</t>
        </is>
      </c>
      <c r="J230" t="n">
        <v>65</v>
      </c>
      <c r="K230" t="inlineStr">
        <is>
          <t>%</t>
        </is>
      </c>
      <c r="L230" t="n">
        <v>1.91</v>
      </c>
      <c r="M230" t="inlineStr">
        <is>
          <t>Flat</t>
        </is>
      </c>
      <c r="N230" t="n">
        <v>15</v>
      </c>
      <c r="O230" t="inlineStr">
        <is>
          <t>SUCCESS</t>
        </is>
      </c>
      <c r="P230" t="inlineStr">
        <is>
          <t>CAPTURED</t>
        </is>
      </c>
    </row>
    <row r="231">
      <c r="A231" t="inlineStr">
        <is>
          <t>ORD0230</t>
        </is>
      </c>
      <c r="B231" t="inlineStr">
        <is>
          <t>16-01-2026</t>
        </is>
      </c>
      <c r="C231" t="inlineStr">
        <is>
          <t>Student_230</t>
        </is>
      </c>
      <c r="D231" t="inlineStr">
        <is>
          <t>ERP_B</t>
        </is>
      </c>
      <c r="E231" t="inlineStr">
        <is>
          <t>Razorpay</t>
        </is>
      </c>
      <c r="F231" t="inlineStr">
        <is>
          <t>Wallet</t>
        </is>
      </c>
      <c r="G231" t="inlineStr">
        <is>
          <t>ICICI</t>
        </is>
      </c>
      <c r="H231" t="n">
        <v>4203</v>
      </c>
      <c r="I231" t="inlineStr">
        <is>
          <t>%</t>
        </is>
      </c>
      <c r="J231" t="n">
        <v>0.97</v>
      </c>
      <c r="K231" t="inlineStr">
        <is>
          <t>Flat</t>
        </is>
      </c>
      <c r="L231" t="n">
        <v>130</v>
      </c>
      <c r="M231" t="inlineStr">
        <is>
          <t>Flat</t>
        </is>
      </c>
      <c r="N231" t="n">
        <v>59</v>
      </c>
      <c r="O231" t="inlineStr">
        <is>
          <t>SUCCESS</t>
        </is>
      </c>
      <c r="P231" t="inlineStr">
        <is>
          <t>CAPTURED</t>
        </is>
      </c>
    </row>
    <row r="232">
      <c r="A232" t="inlineStr">
        <is>
          <t>ORD0231</t>
        </is>
      </c>
      <c r="B232" t="inlineStr">
        <is>
          <t>26-02-2026</t>
        </is>
      </c>
      <c r="C232" t="inlineStr">
        <is>
          <t>Student_231</t>
        </is>
      </c>
      <c r="D232" t="inlineStr">
        <is>
          <t>ERP_A</t>
        </is>
      </c>
      <c r="E232" t="inlineStr">
        <is>
          <t>Razorpay</t>
        </is>
      </c>
      <c r="F232" t="inlineStr">
        <is>
          <t>UPI</t>
        </is>
      </c>
      <c r="G232" t="inlineStr">
        <is>
          <t>ICICI</t>
        </is>
      </c>
      <c r="H232" t="n">
        <v>3847</v>
      </c>
      <c r="I232" t="inlineStr">
        <is>
          <t>%</t>
        </is>
      </c>
      <c r="J232" t="n">
        <v>1.35</v>
      </c>
      <c r="K232" t="inlineStr">
        <is>
          <t>%</t>
        </is>
      </c>
      <c r="L232" t="n">
        <v>1.67</v>
      </c>
      <c r="M232" t="inlineStr">
        <is>
          <t>Flat</t>
        </is>
      </c>
      <c r="N232" t="n">
        <v>49</v>
      </c>
      <c r="O232" t="inlineStr">
        <is>
          <t>FAILED</t>
        </is>
      </c>
      <c r="P232" t="inlineStr">
        <is>
          <t>NOT_CAPTURED</t>
        </is>
      </c>
    </row>
    <row r="233">
      <c r="A233" t="inlineStr">
        <is>
          <t>ORD0232</t>
        </is>
      </c>
      <c r="B233" t="inlineStr">
        <is>
          <t>04-02-2026</t>
        </is>
      </c>
      <c r="C233" t="inlineStr">
        <is>
          <t>Student_232</t>
        </is>
      </c>
      <c r="D233" t="inlineStr">
        <is>
          <t>ERP_C</t>
        </is>
      </c>
      <c r="E233" t="inlineStr">
        <is>
          <t>PayU</t>
        </is>
      </c>
      <c r="F233" t="inlineStr">
        <is>
          <t>UPI</t>
        </is>
      </c>
      <c r="G233" t="inlineStr">
        <is>
          <t>ICICI</t>
        </is>
      </c>
      <c r="H233" t="n">
        <v>19086</v>
      </c>
      <c r="I233" t="inlineStr">
        <is>
          <t>%</t>
        </is>
      </c>
      <c r="J233" t="n">
        <v>1.09</v>
      </c>
      <c r="K233" t="inlineStr">
        <is>
          <t>%</t>
        </is>
      </c>
      <c r="L233" t="n">
        <v>1.62</v>
      </c>
      <c r="M233" t="inlineStr">
        <is>
          <t>Flat</t>
        </is>
      </c>
      <c r="N233" t="n">
        <v>56</v>
      </c>
      <c r="O233" t="inlineStr">
        <is>
          <t>FAILED</t>
        </is>
      </c>
      <c r="P233" t="inlineStr">
        <is>
          <t>NOT_CAPTURED</t>
        </is>
      </c>
    </row>
    <row r="234">
      <c r="A234" t="inlineStr">
        <is>
          <t>ORD0233</t>
        </is>
      </c>
      <c r="B234" t="inlineStr">
        <is>
          <t>22-01-2026</t>
        </is>
      </c>
      <c r="C234" t="inlineStr">
        <is>
          <t>Student_233</t>
        </is>
      </c>
      <c r="D234" t="inlineStr">
        <is>
          <t>ERP_B</t>
        </is>
      </c>
      <c r="E234" t="inlineStr">
        <is>
          <t>Cashfree</t>
        </is>
      </c>
      <c r="F234" t="inlineStr">
        <is>
          <t>NetBanking</t>
        </is>
      </c>
      <c r="G234" t="inlineStr">
        <is>
          <t>ICICI</t>
        </is>
      </c>
      <c r="H234" t="n">
        <v>2465</v>
      </c>
      <c r="I234" t="inlineStr">
        <is>
          <t>%</t>
        </is>
      </c>
      <c r="J234" t="n">
        <v>1.46</v>
      </c>
      <c r="K234" t="inlineStr">
        <is>
          <t>Flat</t>
        </is>
      </c>
      <c r="L234" t="n">
        <v>82</v>
      </c>
      <c r="M234" t="inlineStr">
        <is>
          <t>Flat</t>
        </is>
      </c>
      <c r="N234" t="n">
        <v>77</v>
      </c>
      <c r="O234" t="inlineStr">
        <is>
          <t>PENDING</t>
        </is>
      </c>
      <c r="P234" t="inlineStr">
        <is>
          <t>NOT_CAPTURED</t>
        </is>
      </c>
    </row>
    <row r="235">
      <c r="A235" t="inlineStr">
        <is>
          <t>ORD0234</t>
        </is>
      </c>
      <c r="B235" t="inlineStr">
        <is>
          <t>10-02-2026</t>
        </is>
      </c>
      <c r="C235" t="inlineStr">
        <is>
          <t>Student_234</t>
        </is>
      </c>
      <c r="D235" t="inlineStr">
        <is>
          <t>ERP_B</t>
        </is>
      </c>
      <c r="E235" t="inlineStr">
        <is>
          <t>Razorpay</t>
        </is>
      </c>
      <c r="F235" t="inlineStr">
        <is>
          <t>Card</t>
        </is>
      </c>
      <c r="G235" t="inlineStr">
        <is>
          <t>ICICI</t>
        </is>
      </c>
      <c r="H235" t="n">
        <v>9441</v>
      </c>
      <c r="I235" t="inlineStr">
        <is>
          <t>%</t>
        </is>
      </c>
      <c r="J235" t="n">
        <v>1.36</v>
      </c>
      <c r="K235" t="inlineStr">
        <is>
          <t>Flat</t>
        </is>
      </c>
      <c r="L235" t="n">
        <v>69</v>
      </c>
      <c r="M235" t="inlineStr">
        <is>
          <t>Flat</t>
        </is>
      </c>
      <c r="N235" t="n">
        <v>78</v>
      </c>
      <c r="O235" t="inlineStr">
        <is>
          <t>PENDING</t>
        </is>
      </c>
      <c r="P235" t="inlineStr">
        <is>
          <t>NOT_CAPTURED</t>
        </is>
      </c>
    </row>
    <row r="236">
      <c r="A236" t="inlineStr">
        <is>
          <t>ORD0235</t>
        </is>
      </c>
      <c r="B236" t="inlineStr">
        <is>
          <t>09-01-2026</t>
        </is>
      </c>
      <c r="C236" t="inlineStr">
        <is>
          <t>Student_235</t>
        </is>
      </c>
      <c r="D236" t="inlineStr">
        <is>
          <t>ERP_C</t>
        </is>
      </c>
      <c r="E236" t="inlineStr">
        <is>
          <t>Cashfree</t>
        </is>
      </c>
      <c r="F236" t="inlineStr">
        <is>
          <t>Card</t>
        </is>
      </c>
      <c r="G236" t="inlineStr">
        <is>
          <t>HDFC</t>
        </is>
      </c>
      <c r="H236" t="n">
        <v>4477</v>
      </c>
      <c r="I236" t="inlineStr">
        <is>
          <t>%</t>
        </is>
      </c>
      <c r="J236" t="n">
        <v>1.39</v>
      </c>
      <c r="K236" t="inlineStr">
        <is>
          <t>%</t>
        </is>
      </c>
      <c r="L236" t="n">
        <v>1.71</v>
      </c>
      <c r="M236" t="inlineStr">
        <is>
          <t>Flat</t>
        </is>
      </c>
      <c r="N236" t="n">
        <v>51</v>
      </c>
      <c r="O236" t="inlineStr">
        <is>
          <t>PENDING</t>
        </is>
      </c>
      <c r="P236" t="inlineStr">
        <is>
          <t>NOT_CAPTURED</t>
        </is>
      </c>
    </row>
    <row r="237">
      <c r="A237" t="inlineStr">
        <is>
          <t>ORD0236</t>
        </is>
      </c>
      <c r="B237" t="inlineStr">
        <is>
          <t>30-01-2026</t>
        </is>
      </c>
      <c r="C237" t="inlineStr">
        <is>
          <t>Student_236</t>
        </is>
      </c>
      <c r="D237" t="inlineStr">
        <is>
          <t>ERP_A</t>
        </is>
      </c>
      <c r="E237" t="inlineStr">
        <is>
          <t>PayU</t>
        </is>
      </c>
      <c r="F237" t="inlineStr">
        <is>
          <t>UPI</t>
        </is>
      </c>
      <c r="G237" t="inlineStr">
        <is>
          <t>HDFC</t>
        </is>
      </c>
      <c r="H237" t="n">
        <v>13209</v>
      </c>
      <c r="I237" t="inlineStr">
        <is>
          <t>Flat</t>
        </is>
      </c>
      <c r="J237" t="n">
        <v>27</v>
      </c>
      <c r="K237" t="inlineStr">
        <is>
          <t>%</t>
        </is>
      </c>
      <c r="L237" t="n">
        <v>1.57</v>
      </c>
      <c r="M237" t="inlineStr">
        <is>
          <t>Flat</t>
        </is>
      </c>
      <c r="N237" t="n">
        <v>17</v>
      </c>
      <c r="O237" t="inlineStr">
        <is>
          <t>SUCCESS</t>
        </is>
      </c>
      <c r="P237" t="inlineStr">
        <is>
          <t>CAPTURED</t>
        </is>
      </c>
    </row>
    <row r="238">
      <c r="A238" t="inlineStr">
        <is>
          <t>ORD0237</t>
        </is>
      </c>
      <c r="B238" t="inlineStr">
        <is>
          <t>12-01-2026</t>
        </is>
      </c>
      <c r="C238" t="inlineStr">
        <is>
          <t>Student_237</t>
        </is>
      </c>
      <c r="D238" t="inlineStr">
        <is>
          <t>ERP_B</t>
        </is>
      </c>
      <c r="E238" t="inlineStr">
        <is>
          <t>Razorpay</t>
        </is>
      </c>
      <c r="F238" t="inlineStr">
        <is>
          <t>Wallet</t>
        </is>
      </c>
      <c r="G238" t="inlineStr">
        <is>
          <t>ICICI</t>
        </is>
      </c>
      <c r="H238" t="n">
        <v>12921</v>
      </c>
      <c r="I238" t="inlineStr">
        <is>
          <t>Flat</t>
        </is>
      </c>
      <c r="J238" t="n">
        <v>65</v>
      </c>
      <c r="K238" t="inlineStr">
        <is>
          <t>%</t>
        </is>
      </c>
      <c r="L238" t="n">
        <v>1.51</v>
      </c>
      <c r="M238" t="inlineStr">
        <is>
          <t>%</t>
        </is>
      </c>
      <c r="N238" t="n">
        <v>0.91</v>
      </c>
      <c r="O238" t="inlineStr">
        <is>
          <t>SUCCESS</t>
        </is>
      </c>
      <c r="P238" t="inlineStr">
        <is>
          <t>CAPTURED</t>
        </is>
      </c>
    </row>
    <row r="239">
      <c r="A239" t="inlineStr">
        <is>
          <t>ORD0238</t>
        </is>
      </c>
      <c r="B239" t="inlineStr">
        <is>
          <t>05-02-2026</t>
        </is>
      </c>
      <c r="C239" t="inlineStr">
        <is>
          <t>Student_238</t>
        </is>
      </c>
      <c r="D239" t="inlineStr">
        <is>
          <t>ERP_B</t>
        </is>
      </c>
      <c r="E239" t="inlineStr">
        <is>
          <t>Razorpay</t>
        </is>
      </c>
      <c r="F239" t="inlineStr">
        <is>
          <t>Card</t>
        </is>
      </c>
      <c r="G239" t="inlineStr">
        <is>
          <t>ICICI</t>
        </is>
      </c>
      <c r="H239" t="n">
        <v>13645</v>
      </c>
      <c r="I239" t="inlineStr">
        <is>
          <t>Flat</t>
        </is>
      </c>
      <c r="J239" t="n">
        <v>41</v>
      </c>
      <c r="K239" t="inlineStr">
        <is>
          <t>%</t>
        </is>
      </c>
      <c r="L239" t="n">
        <v>1.71</v>
      </c>
      <c r="M239" t="inlineStr">
        <is>
          <t>%</t>
        </is>
      </c>
      <c r="N239" t="n">
        <v>0.65</v>
      </c>
      <c r="O239" t="inlineStr">
        <is>
          <t>SUCCESS</t>
        </is>
      </c>
      <c r="P239" t="inlineStr">
        <is>
          <t>CAPTURED</t>
        </is>
      </c>
    </row>
    <row r="240">
      <c r="A240" t="inlineStr">
        <is>
          <t>ORD0239</t>
        </is>
      </c>
      <c r="B240" t="inlineStr">
        <is>
          <t>26-01-2026</t>
        </is>
      </c>
      <c r="C240" t="inlineStr">
        <is>
          <t>Student_239</t>
        </is>
      </c>
      <c r="D240" t="inlineStr">
        <is>
          <t>ERP_C</t>
        </is>
      </c>
      <c r="E240" t="inlineStr">
        <is>
          <t>Cashfree</t>
        </is>
      </c>
      <c r="F240" t="inlineStr">
        <is>
          <t>Wallet</t>
        </is>
      </c>
      <c r="G240" t="inlineStr">
        <is>
          <t>ICICI</t>
        </is>
      </c>
      <c r="H240" t="n">
        <v>1137</v>
      </c>
      <c r="I240" t="inlineStr">
        <is>
          <t>%</t>
        </is>
      </c>
      <c r="J240" t="n">
        <v>0.8</v>
      </c>
      <c r="K240" t="inlineStr">
        <is>
          <t>Flat</t>
        </is>
      </c>
      <c r="L240" t="n">
        <v>60</v>
      </c>
      <c r="M240" t="inlineStr">
        <is>
          <t>Flat</t>
        </is>
      </c>
      <c r="N240" t="n">
        <v>43</v>
      </c>
      <c r="O240" t="inlineStr">
        <is>
          <t>PENDING</t>
        </is>
      </c>
      <c r="P240" t="inlineStr">
        <is>
          <t>NOT_CAPTURED</t>
        </is>
      </c>
    </row>
    <row r="241">
      <c r="A241" t="inlineStr">
        <is>
          <t>ORD0240</t>
        </is>
      </c>
      <c r="B241" t="inlineStr">
        <is>
          <t>05-02-2026</t>
        </is>
      </c>
      <c r="C241" t="inlineStr">
        <is>
          <t>Student_240</t>
        </is>
      </c>
      <c r="D241" t="inlineStr">
        <is>
          <t>ERP_A</t>
        </is>
      </c>
      <c r="E241" t="inlineStr">
        <is>
          <t>Razorpay</t>
        </is>
      </c>
      <c r="F241" t="inlineStr">
        <is>
          <t>Wallet</t>
        </is>
      </c>
      <c r="G241" t="inlineStr">
        <is>
          <t>HDFC</t>
        </is>
      </c>
      <c r="H241" t="n">
        <v>14446</v>
      </c>
      <c r="I241" t="inlineStr">
        <is>
          <t>%</t>
        </is>
      </c>
      <c r="J241" t="n">
        <v>1.05</v>
      </c>
      <c r="K241" t="inlineStr">
        <is>
          <t>%</t>
        </is>
      </c>
      <c r="L241" t="n">
        <v>1.58</v>
      </c>
      <c r="M241" t="inlineStr">
        <is>
          <t>%</t>
        </is>
      </c>
      <c r="N241" t="n">
        <v>0.9399999999999999</v>
      </c>
      <c r="O241" t="inlineStr">
        <is>
          <t>SUCCESS</t>
        </is>
      </c>
      <c r="P241" t="inlineStr">
        <is>
          <t>CAPTURED</t>
        </is>
      </c>
    </row>
    <row r="242">
      <c r="A242" t="inlineStr">
        <is>
          <t>ORD0241</t>
        </is>
      </c>
      <c r="B242" t="inlineStr">
        <is>
          <t>18-02-2026</t>
        </is>
      </c>
      <c r="C242" t="inlineStr">
        <is>
          <t>Student_241</t>
        </is>
      </c>
      <c r="D242" t="inlineStr">
        <is>
          <t>ERP_A</t>
        </is>
      </c>
      <c r="E242" t="inlineStr">
        <is>
          <t>Razorpay</t>
        </is>
      </c>
      <c r="F242" t="inlineStr">
        <is>
          <t>UPI</t>
        </is>
      </c>
      <c r="G242" t="inlineStr">
        <is>
          <t>ICICI</t>
        </is>
      </c>
      <c r="H242" t="n">
        <v>9913</v>
      </c>
      <c r="I242" t="inlineStr">
        <is>
          <t>%</t>
        </is>
      </c>
      <c r="J242" t="n">
        <v>1.1</v>
      </c>
      <c r="K242" t="inlineStr">
        <is>
          <t>%</t>
        </is>
      </c>
      <c r="L242" t="n">
        <v>1.56</v>
      </c>
      <c r="M242" t="inlineStr">
        <is>
          <t>Flat</t>
        </is>
      </c>
      <c r="N242" t="n">
        <v>40</v>
      </c>
      <c r="O242" t="inlineStr">
        <is>
          <t>PENDING</t>
        </is>
      </c>
      <c r="P242" t="inlineStr">
        <is>
          <t>NOT_CAPTURED</t>
        </is>
      </c>
    </row>
    <row r="243">
      <c r="A243" t="inlineStr">
        <is>
          <t>ORD0242</t>
        </is>
      </c>
      <c r="B243" t="inlineStr">
        <is>
          <t>19-02-2026</t>
        </is>
      </c>
      <c r="C243" t="inlineStr">
        <is>
          <t>Student_242</t>
        </is>
      </c>
      <c r="D243" t="inlineStr">
        <is>
          <t>ERP_A</t>
        </is>
      </c>
      <c r="E243" t="inlineStr">
        <is>
          <t>Razorpay</t>
        </is>
      </c>
      <c r="F243" t="inlineStr">
        <is>
          <t>Card</t>
        </is>
      </c>
      <c r="G243" t="inlineStr">
        <is>
          <t>ICICI</t>
        </is>
      </c>
      <c r="H243" t="n">
        <v>18421</v>
      </c>
      <c r="I243" t="inlineStr">
        <is>
          <t>Flat</t>
        </is>
      </c>
      <c r="J243" t="n">
        <v>93</v>
      </c>
      <c r="K243" t="inlineStr">
        <is>
          <t>%</t>
        </is>
      </c>
      <c r="L243" t="n">
        <v>1.83</v>
      </c>
      <c r="M243" t="inlineStr">
        <is>
          <t>%</t>
        </is>
      </c>
      <c r="N243" t="n">
        <v>0.85</v>
      </c>
      <c r="O243" t="inlineStr">
        <is>
          <t>SUCCESS</t>
        </is>
      </c>
      <c r="P243" t="inlineStr">
        <is>
          <t>CAPTURED</t>
        </is>
      </c>
    </row>
    <row r="244">
      <c r="A244" t="inlineStr">
        <is>
          <t>ORD0243</t>
        </is>
      </c>
      <c r="B244" t="inlineStr">
        <is>
          <t>31-01-2026</t>
        </is>
      </c>
      <c r="C244" t="inlineStr">
        <is>
          <t>Student_243</t>
        </is>
      </c>
      <c r="D244" t="inlineStr">
        <is>
          <t>ERP_B</t>
        </is>
      </c>
      <c r="E244" t="inlineStr">
        <is>
          <t>Razorpay</t>
        </is>
      </c>
      <c r="F244" t="inlineStr">
        <is>
          <t>Card</t>
        </is>
      </c>
      <c r="G244" t="inlineStr">
        <is>
          <t>HDFC</t>
        </is>
      </c>
      <c r="H244" t="n">
        <v>18200</v>
      </c>
      <c r="I244" t="inlineStr">
        <is>
          <t>%</t>
        </is>
      </c>
      <c r="J244" t="n">
        <v>0.85</v>
      </c>
      <c r="K244" t="inlineStr">
        <is>
          <t>%</t>
        </is>
      </c>
      <c r="L244" t="n">
        <v>1.99</v>
      </c>
      <c r="M244" t="inlineStr">
        <is>
          <t>Flat</t>
        </is>
      </c>
      <c r="N244" t="n">
        <v>69</v>
      </c>
      <c r="O244" t="inlineStr">
        <is>
          <t>PENDING</t>
        </is>
      </c>
      <c r="P244" t="inlineStr">
        <is>
          <t>NOT_CAPTURED</t>
        </is>
      </c>
    </row>
    <row r="245">
      <c r="A245" t="inlineStr">
        <is>
          <t>ORD0244</t>
        </is>
      </c>
      <c r="B245" t="inlineStr">
        <is>
          <t>20-02-2026</t>
        </is>
      </c>
      <c r="C245" t="inlineStr">
        <is>
          <t>Student_244</t>
        </is>
      </c>
      <c r="D245" t="inlineStr">
        <is>
          <t>ERP_A</t>
        </is>
      </c>
      <c r="E245" t="inlineStr">
        <is>
          <t>Cashfree</t>
        </is>
      </c>
      <c r="F245" t="inlineStr">
        <is>
          <t>Card</t>
        </is>
      </c>
      <c r="G245" t="inlineStr">
        <is>
          <t>SBI</t>
        </is>
      </c>
      <c r="H245" t="n">
        <v>14589</v>
      </c>
      <c r="I245" t="inlineStr">
        <is>
          <t>Flat</t>
        </is>
      </c>
      <c r="J245" t="n">
        <v>24</v>
      </c>
      <c r="K245" t="inlineStr">
        <is>
          <t>%</t>
        </is>
      </c>
      <c r="L245" t="n">
        <v>1.24</v>
      </c>
      <c r="M245" t="inlineStr">
        <is>
          <t>Flat</t>
        </is>
      </c>
      <c r="N245" t="n">
        <v>47</v>
      </c>
      <c r="O245" t="inlineStr">
        <is>
          <t>PENDING</t>
        </is>
      </c>
      <c r="P245" t="inlineStr">
        <is>
          <t>NOT_CAPTURED</t>
        </is>
      </c>
    </row>
    <row r="246">
      <c r="A246" t="inlineStr">
        <is>
          <t>ORD0245</t>
        </is>
      </c>
      <c r="B246" t="inlineStr">
        <is>
          <t>22-01-2026</t>
        </is>
      </c>
      <c r="C246" t="inlineStr">
        <is>
          <t>Student_245</t>
        </is>
      </c>
      <c r="D246" t="inlineStr">
        <is>
          <t>ERP_A</t>
        </is>
      </c>
      <c r="E246" t="inlineStr">
        <is>
          <t>Cashfree</t>
        </is>
      </c>
      <c r="F246" t="inlineStr">
        <is>
          <t>UPI</t>
        </is>
      </c>
      <c r="G246" t="inlineStr">
        <is>
          <t>SBI</t>
        </is>
      </c>
      <c r="H246" t="n">
        <v>12742</v>
      </c>
      <c r="I246" t="inlineStr">
        <is>
          <t>%</t>
        </is>
      </c>
      <c r="J246" t="n">
        <v>1</v>
      </c>
      <c r="K246" t="inlineStr">
        <is>
          <t>Flat</t>
        </is>
      </c>
      <c r="L246" t="n">
        <v>127</v>
      </c>
      <c r="M246" t="inlineStr">
        <is>
          <t>%</t>
        </is>
      </c>
      <c r="N246" t="n">
        <v>0.68</v>
      </c>
      <c r="O246" t="inlineStr">
        <is>
          <t>SUCCESS</t>
        </is>
      </c>
      <c r="P246" t="inlineStr">
        <is>
          <t>CAPTURED</t>
        </is>
      </c>
    </row>
    <row r="247">
      <c r="A247" t="inlineStr">
        <is>
          <t>ORD0246</t>
        </is>
      </c>
      <c r="B247" t="inlineStr">
        <is>
          <t>04-01-2026</t>
        </is>
      </c>
      <c r="C247" t="inlineStr">
        <is>
          <t>Student_246</t>
        </is>
      </c>
      <c r="D247" t="inlineStr">
        <is>
          <t>ERP_B</t>
        </is>
      </c>
      <c r="E247" t="inlineStr">
        <is>
          <t>Razorpay</t>
        </is>
      </c>
      <c r="F247" t="inlineStr">
        <is>
          <t>Wallet</t>
        </is>
      </c>
      <c r="G247" t="inlineStr">
        <is>
          <t>Axis</t>
        </is>
      </c>
      <c r="H247" t="n">
        <v>3456</v>
      </c>
      <c r="I247" t="inlineStr">
        <is>
          <t>%</t>
        </is>
      </c>
      <c r="J247" t="n">
        <v>1.33</v>
      </c>
      <c r="K247" t="inlineStr">
        <is>
          <t>%</t>
        </is>
      </c>
      <c r="L247" t="n">
        <v>1.79</v>
      </c>
      <c r="M247" t="inlineStr">
        <is>
          <t>Flat</t>
        </is>
      </c>
      <c r="N247" t="n">
        <v>56</v>
      </c>
      <c r="O247" t="inlineStr">
        <is>
          <t>SUCCESS</t>
        </is>
      </c>
      <c r="P247" t="inlineStr">
        <is>
          <t>CAPTURED</t>
        </is>
      </c>
    </row>
    <row r="248">
      <c r="A248" t="inlineStr">
        <is>
          <t>ORD0247</t>
        </is>
      </c>
      <c r="B248" t="inlineStr">
        <is>
          <t>28-01-2026</t>
        </is>
      </c>
      <c r="C248" t="inlineStr">
        <is>
          <t>Student_247</t>
        </is>
      </c>
      <c r="D248" t="inlineStr">
        <is>
          <t>ERP_C</t>
        </is>
      </c>
      <c r="E248" t="inlineStr">
        <is>
          <t>Cashfree</t>
        </is>
      </c>
      <c r="F248" t="inlineStr">
        <is>
          <t>UPI</t>
        </is>
      </c>
      <c r="G248" t="inlineStr">
        <is>
          <t>Axis</t>
        </is>
      </c>
      <c r="H248" t="n">
        <v>5809</v>
      </c>
      <c r="I248" t="inlineStr">
        <is>
          <t>Flat</t>
        </is>
      </c>
      <c r="J248" t="n">
        <v>73</v>
      </c>
      <c r="K248" t="inlineStr">
        <is>
          <t>Flat</t>
        </is>
      </c>
      <c r="L248" t="n">
        <v>131</v>
      </c>
      <c r="M248" t="inlineStr">
        <is>
          <t>%</t>
        </is>
      </c>
      <c r="N248" t="n">
        <v>0.82</v>
      </c>
      <c r="O248" t="inlineStr">
        <is>
          <t>SUCCESS</t>
        </is>
      </c>
      <c r="P248" t="inlineStr">
        <is>
          <t>CAPTURED</t>
        </is>
      </c>
    </row>
    <row r="249">
      <c r="A249" t="inlineStr">
        <is>
          <t>ORD0248</t>
        </is>
      </c>
      <c r="B249" t="inlineStr">
        <is>
          <t>20-02-2026</t>
        </is>
      </c>
      <c r="C249" t="inlineStr">
        <is>
          <t>Student_248</t>
        </is>
      </c>
      <c r="D249" t="inlineStr">
        <is>
          <t>ERP_A</t>
        </is>
      </c>
      <c r="E249" t="inlineStr">
        <is>
          <t>Cashfree</t>
        </is>
      </c>
      <c r="F249" t="inlineStr">
        <is>
          <t>Card</t>
        </is>
      </c>
      <c r="G249" t="inlineStr">
        <is>
          <t>HDFC</t>
        </is>
      </c>
      <c r="H249" t="n">
        <v>14128</v>
      </c>
      <c r="I249" t="inlineStr">
        <is>
          <t>Flat</t>
        </is>
      </c>
      <c r="J249" t="n">
        <v>93</v>
      </c>
      <c r="K249" t="inlineStr">
        <is>
          <t>Flat</t>
        </is>
      </c>
      <c r="L249" t="n">
        <v>241</v>
      </c>
      <c r="M249" t="inlineStr">
        <is>
          <t>Flat</t>
        </is>
      </c>
      <c r="N249" t="n">
        <v>53</v>
      </c>
      <c r="O249" t="inlineStr">
        <is>
          <t>SUCCESS</t>
        </is>
      </c>
      <c r="P249" t="inlineStr">
        <is>
          <t>CAPTURED</t>
        </is>
      </c>
    </row>
    <row r="250">
      <c r="A250" t="inlineStr">
        <is>
          <t>ORD0249</t>
        </is>
      </c>
      <c r="B250" t="inlineStr">
        <is>
          <t>18-02-2026</t>
        </is>
      </c>
      <c r="C250" t="inlineStr">
        <is>
          <t>Student_249</t>
        </is>
      </c>
      <c r="D250" t="inlineStr">
        <is>
          <t>ERP_A</t>
        </is>
      </c>
      <c r="E250" t="inlineStr">
        <is>
          <t>PayU</t>
        </is>
      </c>
      <c r="F250" t="inlineStr">
        <is>
          <t>Wallet</t>
        </is>
      </c>
      <c r="G250" t="inlineStr">
        <is>
          <t>SBI</t>
        </is>
      </c>
      <c r="H250" t="n">
        <v>4117</v>
      </c>
      <c r="I250" t="inlineStr">
        <is>
          <t>Flat</t>
        </is>
      </c>
      <c r="J250" t="n">
        <v>70</v>
      </c>
      <c r="K250" t="inlineStr">
        <is>
          <t>%</t>
        </is>
      </c>
      <c r="L250" t="n">
        <v>1.25</v>
      </c>
      <c r="M250" t="inlineStr">
        <is>
          <t>%</t>
        </is>
      </c>
      <c r="N250" t="n">
        <v>0.67</v>
      </c>
      <c r="O250" t="inlineStr">
        <is>
          <t>SUCCESS</t>
        </is>
      </c>
      <c r="P250" t="inlineStr">
        <is>
          <t>CAPTURED</t>
        </is>
      </c>
    </row>
    <row r="251">
      <c r="A251" t="inlineStr">
        <is>
          <t>ORD0250</t>
        </is>
      </c>
      <c r="B251" t="inlineStr">
        <is>
          <t>15-01-2026</t>
        </is>
      </c>
      <c r="C251" t="inlineStr">
        <is>
          <t>Student_250</t>
        </is>
      </c>
      <c r="D251" t="inlineStr">
        <is>
          <t>ERP_B</t>
        </is>
      </c>
      <c r="E251" t="inlineStr">
        <is>
          <t>Cashfree</t>
        </is>
      </c>
      <c r="F251" t="inlineStr">
        <is>
          <t>NetBanking</t>
        </is>
      </c>
      <c r="G251" t="inlineStr">
        <is>
          <t>ICICI</t>
        </is>
      </c>
      <c r="H251" t="n">
        <v>2609</v>
      </c>
      <c r="I251" t="inlineStr">
        <is>
          <t>Flat</t>
        </is>
      </c>
      <c r="J251" t="n">
        <v>90</v>
      </c>
      <c r="K251" t="inlineStr">
        <is>
          <t>%</t>
        </is>
      </c>
      <c r="L251" t="n">
        <v>1.73</v>
      </c>
      <c r="M251" t="inlineStr">
        <is>
          <t>Flat</t>
        </is>
      </c>
      <c r="N251" t="n">
        <v>66</v>
      </c>
      <c r="O251" t="inlineStr">
        <is>
          <t>PENDING</t>
        </is>
      </c>
      <c r="P251" t="inlineStr">
        <is>
          <t>NOT_CAPTURED</t>
        </is>
      </c>
    </row>
    <row r="252">
      <c r="A252" t="inlineStr">
        <is>
          <t>ORD0251</t>
        </is>
      </c>
      <c r="B252" t="inlineStr">
        <is>
          <t>23-02-2026</t>
        </is>
      </c>
      <c r="C252" t="inlineStr">
        <is>
          <t>Student_251</t>
        </is>
      </c>
      <c r="D252" t="inlineStr">
        <is>
          <t>ERP_C</t>
        </is>
      </c>
      <c r="E252" t="inlineStr">
        <is>
          <t>Razorpay</t>
        </is>
      </c>
      <c r="F252" t="inlineStr">
        <is>
          <t>Card</t>
        </is>
      </c>
      <c r="G252" t="inlineStr">
        <is>
          <t>SBI</t>
        </is>
      </c>
      <c r="H252" t="n">
        <v>18372</v>
      </c>
      <c r="I252" t="inlineStr">
        <is>
          <t>%</t>
        </is>
      </c>
      <c r="J252" t="n">
        <v>0.82</v>
      </c>
      <c r="K252" t="inlineStr">
        <is>
          <t>Flat</t>
        </is>
      </c>
      <c r="L252" t="n">
        <v>161</v>
      </c>
      <c r="M252" t="inlineStr">
        <is>
          <t>Flat</t>
        </is>
      </c>
      <c r="N252" t="n">
        <v>54</v>
      </c>
      <c r="O252" t="inlineStr">
        <is>
          <t>SUCCESS</t>
        </is>
      </c>
      <c r="P252" t="inlineStr">
        <is>
          <t>CAPTURED</t>
        </is>
      </c>
    </row>
    <row r="253">
      <c r="A253" t="inlineStr">
        <is>
          <t>ORD0252</t>
        </is>
      </c>
      <c r="B253" t="inlineStr">
        <is>
          <t>08-01-2026</t>
        </is>
      </c>
      <c r="C253" t="inlineStr">
        <is>
          <t>Student_252</t>
        </is>
      </c>
      <c r="D253" t="inlineStr">
        <is>
          <t>ERP_C</t>
        </is>
      </c>
      <c r="E253" t="inlineStr">
        <is>
          <t>PayU</t>
        </is>
      </c>
      <c r="F253" t="inlineStr">
        <is>
          <t>Wallet</t>
        </is>
      </c>
      <c r="G253" t="inlineStr">
        <is>
          <t>SBI</t>
        </is>
      </c>
      <c r="H253" t="n">
        <v>8354</v>
      </c>
      <c r="I253" t="inlineStr">
        <is>
          <t>Flat</t>
        </is>
      </c>
      <c r="J253" t="n">
        <v>44</v>
      </c>
      <c r="K253" t="inlineStr">
        <is>
          <t>Flat</t>
        </is>
      </c>
      <c r="L253" t="n">
        <v>148</v>
      </c>
      <c r="M253" t="inlineStr">
        <is>
          <t>%</t>
        </is>
      </c>
      <c r="N253" t="n">
        <v>0.52</v>
      </c>
      <c r="O253" t="inlineStr">
        <is>
          <t>FAILED</t>
        </is>
      </c>
      <c r="P253" t="inlineStr">
        <is>
          <t>NOT_CAPTURED</t>
        </is>
      </c>
    </row>
    <row r="254">
      <c r="A254" t="inlineStr">
        <is>
          <t>ORD0253</t>
        </is>
      </c>
      <c r="B254" t="inlineStr">
        <is>
          <t>15-01-2026</t>
        </is>
      </c>
      <c r="C254" t="inlineStr">
        <is>
          <t>Student_253</t>
        </is>
      </c>
      <c r="D254" t="inlineStr">
        <is>
          <t>ERP_C</t>
        </is>
      </c>
      <c r="E254" t="inlineStr">
        <is>
          <t>PayU</t>
        </is>
      </c>
      <c r="F254" t="inlineStr">
        <is>
          <t>NetBanking</t>
        </is>
      </c>
      <c r="G254" t="inlineStr">
        <is>
          <t>HDFC</t>
        </is>
      </c>
      <c r="H254" t="n">
        <v>14992</v>
      </c>
      <c r="I254" t="inlineStr">
        <is>
          <t>Flat</t>
        </is>
      </c>
      <c r="J254" t="n">
        <v>81</v>
      </c>
      <c r="K254" t="inlineStr">
        <is>
          <t>%</t>
        </is>
      </c>
      <c r="L254" t="n">
        <v>1.21</v>
      </c>
      <c r="M254" t="inlineStr">
        <is>
          <t>Flat</t>
        </is>
      </c>
      <c r="N254" t="n">
        <v>59</v>
      </c>
      <c r="O254" t="inlineStr">
        <is>
          <t>SUCCESS</t>
        </is>
      </c>
      <c r="P254" t="inlineStr">
        <is>
          <t>CAPTURED</t>
        </is>
      </c>
    </row>
    <row r="255">
      <c r="A255" t="inlineStr">
        <is>
          <t>ORD0254</t>
        </is>
      </c>
      <c r="B255" t="inlineStr">
        <is>
          <t>26-02-2026</t>
        </is>
      </c>
      <c r="C255" t="inlineStr">
        <is>
          <t>Student_254</t>
        </is>
      </c>
      <c r="D255" t="inlineStr">
        <is>
          <t>ERP_C</t>
        </is>
      </c>
      <c r="E255" t="inlineStr">
        <is>
          <t>Cashfree</t>
        </is>
      </c>
      <c r="F255" t="inlineStr">
        <is>
          <t>Wallet</t>
        </is>
      </c>
      <c r="G255" t="inlineStr">
        <is>
          <t>ICICI</t>
        </is>
      </c>
      <c r="H255" t="n">
        <v>16165</v>
      </c>
      <c r="I255" t="inlineStr">
        <is>
          <t>%</t>
        </is>
      </c>
      <c r="J255" t="n">
        <v>1.24</v>
      </c>
      <c r="K255" t="inlineStr">
        <is>
          <t>%</t>
        </is>
      </c>
      <c r="L255" t="n">
        <v>1.83</v>
      </c>
      <c r="M255" t="inlineStr">
        <is>
          <t>%</t>
        </is>
      </c>
      <c r="N255" t="n">
        <v>0.85</v>
      </c>
      <c r="O255" t="inlineStr">
        <is>
          <t>FAILED</t>
        </is>
      </c>
      <c r="P255" t="inlineStr">
        <is>
          <t>NOT_CAPTURED</t>
        </is>
      </c>
    </row>
    <row r="256">
      <c r="A256" t="inlineStr">
        <is>
          <t>ORD0255</t>
        </is>
      </c>
      <c r="B256" t="inlineStr">
        <is>
          <t>02-01-2026</t>
        </is>
      </c>
      <c r="C256" t="inlineStr">
        <is>
          <t>Student_255</t>
        </is>
      </c>
      <c r="D256" t="inlineStr">
        <is>
          <t>ERP_C</t>
        </is>
      </c>
      <c r="E256" t="inlineStr">
        <is>
          <t>Cashfree</t>
        </is>
      </c>
      <c r="F256" t="inlineStr">
        <is>
          <t>Card</t>
        </is>
      </c>
      <c r="G256" t="inlineStr">
        <is>
          <t>HDFC</t>
        </is>
      </c>
      <c r="H256" t="n">
        <v>19103</v>
      </c>
      <c r="I256" t="inlineStr">
        <is>
          <t>Flat</t>
        </is>
      </c>
      <c r="J256" t="n">
        <v>88</v>
      </c>
      <c r="K256" t="inlineStr">
        <is>
          <t>%</t>
        </is>
      </c>
      <c r="L256" t="n">
        <v>1.35</v>
      </c>
      <c r="M256" t="inlineStr">
        <is>
          <t>Flat</t>
        </is>
      </c>
      <c r="N256" t="n">
        <v>76</v>
      </c>
      <c r="O256" t="inlineStr">
        <is>
          <t>PENDING</t>
        </is>
      </c>
      <c r="P256" t="inlineStr">
        <is>
          <t>NOT_CAPTURED</t>
        </is>
      </c>
    </row>
    <row r="257">
      <c r="A257" t="inlineStr">
        <is>
          <t>ORD0256</t>
        </is>
      </c>
      <c r="B257" t="inlineStr">
        <is>
          <t>26-02-2026</t>
        </is>
      </c>
      <c r="C257" t="inlineStr">
        <is>
          <t>Student_256</t>
        </is>
      </c>
      <c r="D257" t="inlineStr">
        <is>
          <t>ERP_A</t>
        </is>
      </c>
      <c r="E257" t="inlineStr">
        <is>
          <t>PayU</t>
        </is>
      </c>
      <c r="F257" t="inlineStr">
        <is>
          <t>UPI</t>
        </is>
      </c>
      <c r="G257" t="inlineStr">
        <is>
          <t>HDFC</t>
        </is>
      </c>
      <c r="H257" t="n">
        <v>8995</v>
      </c>
      <c r="I257" t="inlineStr">
        <is>
          <t>Flat</t>
        </is>
      </c>
      <c r="J257" t="n">
        <v>63</v>
      </c>
      <c r="K257" t="inlineStr">
        <is>
          <t>Flat</t>
        </is>
      </c>
      <c r="L257" t="n">
        <v>163</v>
      </c>
      <c r="M257" t="inlineStr">
        <is>
          <t>Flat</t>
        </is>
      </c>
      <c r="N257" t="n">
        <v>59</v>
      </c>
      <c r="O257" t="inlineStr">
        <is>
          <t>FAILED</t>
        </is>
      </c>
      <c r="P257" t="inlineStr">
        <is>
          <t>NOT_CAPTURED</t>
        </is>
      </c>
    </row>
    <row r="258">
      <c r="A258" t="inlineStr">
        <is>
          <t>ORD0257</t>
        </is>
      </c>
      <c r="B258" t="inlineStr">
        <is>
          <t>04-01-2026</t>
        </is>
      </c>
      <c r="C258" t="inlineStr">
        <is>
          <t>Student_257</t>
        </is>
      </c>
      <c r="D258" t="inlineStr">
        <is>
          <t>ERP_B</t>
        </is>
      </c>
      <c r="E258" t="inlineStr">
        <is>
          <t>Cashfree</t>
        </is>
      </c>
      <c r="F258" t="inlineStr">
        <is>
          <t>NetBanking</t>
        </is>
      </c>
      <c r="G258" t="inlineStr">
        <is>
          <t>ICICI</t>
        </is>
      </c>
      <c r="H258" t="n">
        <v>11317</v>
      </c>
      <c r="I258" t="inlineStr">
        <is>
          <t>%</t>
        </is>
      </c>
      <c r="J258" t="n">
        <v>1.24</v>
      </c>
      <c r="K258" t="inlineStr">
        <is>
          <t>%</t>
        </is>
      </c>
      <c r="L258" t="n">
        <v>1.45</v>
      </c>
      <c r="M258" t="inlineStr">
        <is>
          <t>%</t>
        </is>
      </c>
      <c r="N258" t="n">
        <v>0.55</v>
      </c>
      <c r="O258" t="inlineStr">
        <is>
          <t>PENDING</t>
        </is>
      </c>
      <c r="P258" t="inlineStr">
        <is>
          <t>NOT_CAPTURED</t>
        </is>
      </c>
    </row>
    <row r="259">
      <c r="A259" t="inlineStr">
        <is>
          <t>ORD0258</t>
        </is>
      </c>
      <c r="B259" t="inlineStr">
        <is>
          <t>26-01-2026</t>
        </is>
      </c>
      <c r="C259" t="inlineStr">
        <is>
          <t>Student_258</t>
        </is>
      </c>
      <c r="D259" t="inlineStr">
        <is>
          <t>ERP_A</t>
        </is>
      </c>
      <c r="E259" t="inlineStr">
        <is>
          <t>PayU</t>
        </is>
      </c>
      <c r="F259" t="inlineStr">
        <is>
          <t>UPI</t>
        </is>
      </c>
      <c r="G259" t="inlineStr">
        <is>
          <t>ICICI</t>
        </is>
      </c>
      <c r="H259" t="n">
        <v>4473</v>
      </c>
      <c r="I259" t="inlineStr">
        <is>
          <t>Flat</t>
        </is>
      </c>
      <c r="J259" t="n">
        <v>87</v>
      </c>
      <c r="K259" t="inlineStr">
        <is>
          <t>Flat</t>
        </is>
      </c>
      <c r="L259" t="n">
        <v>125</v>
      </c>
      <c r="M259" t="inlineStr">
        <is>
          <t>Flat</t>
        </is>
      </c>
      <c r="N259" t="n">
        <v>23</v>
      </c>
      <c r="O259" t="inlineStr">
        <is>
          <t>FAILED</t>
        </is>
      </c>
      <c r="P259" t="inlineStr">
        <is>
          <t>NOT_CAPTURED</t>
        </is>
      </c>
    </row>
    <row r="260">
      <c r="A260" t="inlineStr">
        <is>
          <t>ORD0259</t>
        </is>
      </c>
      <c r="B260" t="inlineStr">
        <is>
          <t>14-02-2026</t>
        </is>
      </c>
      <c r="C260" t="inlineStr">
        <is>
          <t>Student_259</t>
        </is>
      </c>
      <c r="D260" t="inlineStr">
        <is>
          <t>ERP_B</t>
        </is>
      </c>
      <c r="E260" t="inlineStr">
        <is>
          <t>Razorpay</t>
        </is>
      </c>
      <c r="F260" t="inlineStr">
        <is>
          <t>NetBanking</t>
        </is>
      </c>
      <c r="G260" t="inlineStr">
        <is>
          <t>Axis</t>
        </is>
      </c>
      <c r="H260" t="n">
        <v>7889</v>
      </c>
      <c r="I260" t="inlineStr">
        <is>
          <t>Flat</t>
        </is>
      </c>
      <c r="J260" t="n">
        <v>47</v>
      </c>
      <c r="K260" t="inlineStr">
        <is>
          <t>%</t>
        </is>
      </c>
      <c r="L260" t="n">
        <v>1.74</v>
      </c>
      <c r="M260" t="inlineStr">
        <is>
          <t>Flat</t>
        </is>
      </c>
      <c r="N260" t="n">
        <v>33</v>
      </c>
      <c r="O260" t="inlineStr">
        <is>
          <t>SUCCESS</t>
        </is>
      </c>
      <c r="P260" t="inlineStr">
        <is>
          <t>CAPTURED</t>
        </is>
      </c>
    </row>
    <row r="261">
      <c r="A261" t="inlineStr">
        <is>
          <t>ORD0260</t>
        </is>
      </c>
      <c r="B261" t="inlineStr">
        <is>
          <t>28-02-2026</t>
        </is>
      </c>
      <c r="C261" t="inlineStr">
        <is>
          <t>Student_260</t>
        </is>
      </c>
      <c r="D261" t="inlineStr">
        <is>
          <t>ERP_B</t>
        </is>
      </c>
      <c r="E261" t="inlineStr">
        <is>
          <t>Cashfree</t>
        </is>
      </c>
      <c r="F261" t="inlineStr">
        <is>
          <t>NetBanking</t>
        </is>
      </c>
      <c r="G261" t="inlineStr">
        <is>
          <t>HDFC</t>
        </is>
      </c>
      <c r="H261" t="n">
        <v>8606</v>
      </c>
      <c r="I261" t="inlineStr">
        <is>
          <t>Flat</t>
        </is>
      </c>
      <c r="J261" t="n">
        <v>67</v>
      </c>
      <c r="K261" t="inlineStr">
        <is>
          <t>%</t>
        </is>
      </c>
      <c r="L261" t="n">
        <v>1.93</v>
      </c>
      <c r="M261" t="inlineStr">
        <is>
          <t>Flat</t>
        </is>
      </c>
      <c r="N261" t="n">
        <v>56</v>
      </c>
      <c r="O261" t="inlineStr">
        <is>
          <t>FAILED</t>
        </is>
      </c>
      <c r="P261" t="inlineStr">
        <is>
          <t>NOT_CAPTURED</t>
        </is>
      </c>
    </row>
    <row r="262">
      <c r="A262" t="inlineStr">
        <is>
          <t>ORD0261</t>
        </is>
      </c>
      <c r="B262" t="inlineStr">
        <is>
          <t>01-03-2026</t>
        </is>
      </c>
      <c r="C262" t="inlineStr">
        <is>
          <t>Student_261</t>
        </is>
      </c>
      <c r="D262" t="inlineStr">
        <is>
          <t>ERP_C</t>
        </is>
      </c>
      <c r="E262" t="inlineStr">
        <is>
          <t>Cashfree</t>
        </is>
      </c>
      <c r="F262" t="inlineStr">
        <is>
          <t>Wallet</t>
        </is>
      </c>
      <c r="G262" t="inlineStr">
        <is>
          <t>Axis</t>
        </is>
      </c>
      <c r="H262" t="n">
        <v>16841</v>
      </c>
      <c r="I262" t="inlineStr">
        <is>
          <t>Flat</t>
        </is>
      </c>
      <c r="J262" t="n">
        <v>78</v>
      </c>
      <c r="K262" t="inlineStr">
        <is>
          <t>Flat</t>
        </is>
      </c>
      <c r="L262" t="n">
        <v>159</v>
      </c>
      <c r="M262" t="inlineStr">
        <is>
          <t>%</t>
        </is>
      </c>
      <c r="N262" t="n">
        <v>0.62</v>
      </c>
      <c r="O262" t="inlineStr">
        <is>
          <t>SUCCESS</t>
        </is>
      </c>
      <c r="P262" t="inlineStr">
        <is>
          <t>CAPTURED</t>
        </is>
      </c>
    </row>
    <row r="263">
      <c r="A263" t="inlineStr">
        <is>
          <t>ORD0262</t>
        </is>
      </c>
      <c r="B263" t="inlineStr">
        <is>
          <t>27-01-2026</t>
        </is>
      </c>
      <c r="C263" t="inlineStr">
        <is>
          <t>Student_262</t>
        </is>
      </c>
      <c r="D263" t="inlineStr">
        <is>
          <t>ERP_B</t>
        </is>
      </c>
      <c r="E263" t="inlineStr">
        <is>
          <t>PayU</t>
        </is>
      </c>
      <c r="F263" t="inlineStr">
        <is>
          <t>Card</t>
        </is>
      </c>
      <c r="G263" t="inlineStr">
        <is>
          <t>ICICI</t>
        </is>
      </c>
      <c r="H263" t="n">
        <v>7117</v>
      </c>
      <c r="I263" t="inlineStr">
        <is>
          <t>%</t>
        </is>
      </c>
      <c r="J263" t="n">
        <v>1.22</v>
      </c>
      <c r="K263" t="inlineStr">
        <is>
          <t>Flat</t>
        </is>
      </c>
      <c r="L263" t="n">
        <v>182</v>
      </c>
      <c r="M263" t="inlineStr">
        <is>
          <t>%</t>
        </is>
      </c>
      <c r="N263" t="n">
        <v>0.66</v>
      </c>
      <c r="O263" t="inlineStr">
        <is>
          <t>SUCCESS</t>
        </is>
      </c>
      <c r="P263" t="inlineStr">
        <is>
          <t>CAPTURED</t>
        </is>
      </c>
    </row>
    <row r="264">
      <c r="A264" t="inlineStr">
        <is>
          <t>ORD0263</t>
        </is>
      </c>
      <c r="B264" t="inlineStr">
        <is>
          <t>14-01-2026</t>
        </is>
      </c>
      <c r="C264" t="inlineStr">
        <is>
          <t>Student_263</t>
        </is>
      </c>
      <c r="D264" t="inlineStr">
        <is>
          <t>ERP_B</t>
        </is>
      </c>
      <c r="E264" t="inlineStr">
        <is>
          <t>Cashfree</t>
        </is>
      </c>
      <c r="F264" t="inlineStr">
        <is>
          <t>NetBanking</t>
        </is>
      </c>
      <c r="G264" t="inlineStr">
        <is>
          <t>HDFC</t>
        </is>
      </c>
      <c r="H264" t="n">
        <v>14579</v>
      </c>
      <c r="I264" t="inlineStr">
        <is>
          <t>%</t>
        </is>
      </c>
      <c r="J264" t="n">
        <v>1.42</v>
      </c>
      <c r="K264" t="inlineStr">
        <is>
          <t>%</t>
        </is>
      </c>
      <c r="L264" t="n">
        <v>1.43</v>
      </c>
      <c r="M264" t="inlineStr">
        <is>
          <t>Flat</t>
        </is>
      </c>
      <c r="N264" t="n">
        <v>18</v>
      </c>
      <c r="O264" t="inlineStr">
        <is>
          <t>FAILED</t>
        </is>
      </c>
      <c r="P264" t="inlineStr">
        <is>
          <t>NOT_CAPTURED</t>
        </is>
      </c>
    </row>
    <row r="265">
      <c r="A265" t="inlineStr">
        <is>
          <t>ORD0264</t>
        </is>
      </c>
      <c r="B265" t="inlineStr">
        <is>
          <t>02-01-2026</t>
        </is>
      </c>
      <c r="C265" t="inlineStr">
        <is>
          <t>Student_264</t>
        </is>
      </c>
      <c r="D265" t="inlineStr">
        <is>
          <t>ERP_C</t>
        </is>
      </c>
      <c r="E265" t="inlineStr">
        <is>
          <t>PayU</t>
        </is>
      </c>
      <c r="F265" t="inlineStr">
        <is>
          <t>NetBanking</t>
        </is>
      </c>
      <c r="G265" t="inlineStr">
        <is>
          <t>Axis</t>
        </is>
      </c>
      <c r="H265" t="n">
        <v>19739</v>
      </c>
      <c r="I265" t="inlineStr">
        <is>
          <t>%</t>
        </is>
      </c>
      <c r="J265" t="n">
        <v>1.03</v>
      </c>
      <c r="K265" t="inlineStr">
        <is>
          <t>Flat</t>
        </is>
      </c>
      <c r="L265" t="n">
        <v>198</v>
      </c>
      <c r="M265" t="inlineStr">
        <is>
          <t>%</t>
        </is>
      </c>
      <c r="N265" t="n">
        <v>0.85</v>
      </c>
      <c r="O265" t="inlineStr">
        <is>
          <t>FAILED</t>
        </is>
      </c>
      <c r="P265" t="inlineStr">
        <is>
          <t>NOT_CAPTURED</t>
        </is>
      </c>
    </row>
    <row r="266">
      <c r="A266" t="inlineStr">
        <is>
          <t>ORD0265</t>
        </is>
      </c>
      <c r="B266" t="inlineStr">
        <is>
          <t>04-02-2026</t>
        </is>
      </c>
      <c r="C266" t="inlineStr">
        <is>
          <t>Student_265</t>
        </is>
      </c>
      <c r="D266" t="inlineStr">
        <is>
          <t>ERP_A</t>
        </is>
      </c>
      <c r="E266" t="inlineStr">
        <is>
          <t>Razorpay</t>
        </is>
      </c>
      <c r="F266" t="inlineStr">
        <is>
          <t>Card</t>
        </is>
      </c>
      <c r="G266" t="inlineStr">
        <is>
          <t>HDFC</t>
        </is>
      </c>
      <c r="H266" t="n">
        <v>4795</v>
      </c>
      <c r="I266" t="inlineStr">
        <is>
          <t>%</t>
        </is>
      </c>
      <c r="J266" t="n">
        <v>1.15</v>
      </c>
      <c r="K266" t="inlineStr">
        <is>
          <t>%</t>
        </is>
      </c>
      <c r="L266" t="n">
        <v>1.46</v>
      </c>
      <c r="M266" t="inlineStr">
        <is>
          <t>%</t>
        </is>
      </c>
      <c r="N266" t="n">
        <v>0.96</v>
      </c>
      <c r="O266" t="inlineStr">
        <is>
          <t>PENDING</t>
        </is>
      </c>
      <c r="P266" t="inlineStr">
        <is>
          <t>NOT_CAPTURED</t>
        </is>
      </c>
    </row>
    <row r="267">
      <c r="A267" t="inlineStr">
        <is>
          <t>ORD0266</t>
        </is>
      </c>
      <c r="B267" t="inlineStr">
        <is>
          <t>30-01-2026</t>
        </is>
      </c>
      <c r="C267" t="inlineStr">
        <is>
          <t>Student_266</t>
        </is>
      </c>
      <c r="D267" t="inlineStr">
        <is>
          <t>ERP_B</t>
        </is>
      </c>
      <c r="E267" t="inlineStr">
        <is>
          <t>Razorpay</t>
        </is>
      </c>
      <c r="F267" t="inlineStr">
        <is>
          <t>Card</t>
        </is>
      </c>
      <c r="G267" t="inlineStr">
        <is>
          <t>ICICI</t>
        </is>
      </c>
      <c r="H267" t="n">
        <v>5462</v>
      </c>
      <c r="I267" t="inlineStr">
        <is>
          <t>Flat</t>
        </is>
      </c>
      <c r="J267" t="n">
        <v>95</v>
      </c>
      <c r="K267" t="inlineStr">
        <is>
          <t>Flat</t>
        </is>
      </c>
      <c r="L267" t="n">
        <v>164</v>
      </c>
      <c r="M267" t="inlineStr">
        <is>
          <t>%</t>
        </is>
      </c>
      <c r="N267" t="n">
        <v>0.66</v>
      </c>
      <c r="O267" t="inlineStr">
        <is>
          <t>SUCCESS</t>
        </is>
      </c>
      <c r="P267" t="inlineStr">
        <is>
          <t>CAPTURED</t>
        </is>
      </c>
    </row>
    <row r="268">
      <c r="A268" t="inlineStr">
        <is>
          <t>ORD0267</t>
        </is>
      </c>
      <c r="B268" t="inlineStr">
        <is>
          <t>13-01-2026</t>
        </is>
      </c>
      <c r="C268" t="inlineStr">
        <is>
          <t>Student_267</t>
        </is>
      </c>
      <c r="D268" t="inlineStr">
        <is>
          <t>ERP_C</t>
        </is>
      </c>
      <c r="E268" t="inlineStr">
        <is>
          <t>PayU</t>
        </is>
      </c>
      <c r="F268" t="inlineStr">
        <is>
          <t>UPI</t>
        </is>
      </c>
      <c r="G268" t="inlineStr">
        <is>
          <t>HDFC</t>
        </is>
      </c>
      <c r="H268" t="n">
        <v>2784</v>
      </c>
      <c r="I268" t="inlineStr">
        <is>
          <t>%</t>
        </is>
      </c>
      <c r="J268" t="n">
        <v>0.93</v>
      </c>
      <c r="K268" t="inlineStr">
        <is>
          <t>%</t>
        </is>
      </c>
      <c r="L268" t="n">
        <v>1.95</v>
      </c>
      <c r="M268" t="inlineStr">
        <is>
          <t>Flat</t>
        </is>
      </c>
      <c r="N268" t="n">
        <v>56</v>
      </c>
      <c r="O268" t="inlineStr">
        <is>
          <t>SUCCESS</t>
        </is>
      </c>
      <c r="P268" t="inlineStr">
        <is>
          <t>CAPTURED</t>
        </is>
      </c>
    </row>
    <row r="269">
      <c r="A269" t="inlineStr">
        <is>
          <t>ORD0268</t>
        </is>
      </c>
      <c r="B269" t="inlineStr">
        <is>
          <t>15-01-2026</t>
        </is>
      </c>
      <c r="C269" t="inlineStr">
        <is>
          <t>Student_268</t>
        </is>
      </c>
      <c r="D269" t="inlineStr">
        <is>
          <t>ERP_C</t>
        </is>
      </c>
      <c r="E269" t="inlineStr">
        <is>
          <t>PayU</t>
        </is>
      </c>
      <c r="F269" t="inlineStr">
        <is>
          <t>NetBanking</t>
        </is>
      </c>
      <c r="G269" t="inlineStr">
        <is>
          <t>Axis</t>
        </is>
      </c>
      <c r="H269" t="n">
        <v>10363</v>
      </c>
      <c r="I269" t="inlineStr">
        <is>
          <t>%</t>
        </is>
      </c>
      <c r="J269" t="n">
        <v>0.98</v>
      </c>
      <c r="K269" t="inlineStr">
        <is>
          <t>Flat</t>
        </is>
      </c>
      <c r="L269" t="n">
        <v>241</v>
      </c>
      <c r="M269" t="inlineStr">
        <is>
          <t>%</t>
        </is>
      </c>
      <c r="N269" t="n">
        <v>0.82</v>
      </c>
      <c r="O269" t="inlineStr">
        <is>
          <t>SUCCESS</t>
        </is>
      </c>
      <c r="P269" t="inlineStr">
        <is>
          <t>CAPTURED</t>
        </is>
      </c>
    </row>
    <row r="270">
      <c r="A270" t="inlineStr">
        <is>
          <t>ORD0269</t>
        </is>
      </c>
      <c r="B270" t="inlineStr">
        <is>
          <t>13-02-2026</t>
        </is>
      </c>
      <c r="C270" t="inlineStr">
        <is>
          <t>Student_269</t>
        </is>
      </c>
      <c r="D270" t="inlineStr">
        <is>
          <t>ERP_A</t>
        </is>
      </c>
      <c r="E270" t="inlineStr">
        <is>
          <t>PayU</t>
        </is>
      </c>
      <c r="F270" t="inlineStr">
        <is>
          <t>Wallet</t>
        </is>
      </c>
      <c r="G270" t="inlineStr">
        <is>
          <t>SBI</t>
        </is>
      </c>
      <c r="H270" t="n">
        <v>14549</v>
      </c>
      <c r="I270" t="inlineStr">
        <is>
          <t>%</t>
        </is>
      </c>
      <c r="J270" t="n">
        <v>0.85</v>
      </c>
      <c r="K270" t="inlineStr">
        <is>
          <t>%</t>
        </is>
      </c>
      <c r="L270" t="n">
        <v>1.29</v>
      </c>
      <c r="M270" t="inlineStr">
        <is>
          <t>%</t>
        </is>
      </c>
      <c r="N270" t="n">
        <v>0.83</v>
      </c>
      <c r="O270" t="inlineStr">
        <is>
          <t>PENDING</t>
        </is>
      </c>
      <c r="P270" t="inlineStr">
        <is>
          <t>NOT_CAPTURED</t>
        </is>
      </c>
    </row>
    <row r="271">
      <c r="A271" t="inlineStr">
        <is>
          <t>ORD0270</t>
        </is>
      </c>
      <c r="B271" t="inlineStr">
        <is>
          <t>25-02-2026</t>
        </is>
      </c>
      <c r="C271" t="inlineStr">
        <is>
          <t>Student_270</t>
        </is>
      </c>
      <c r="D271" t="inlineStr">
        <is>
          <t>ERP_B</t>
        </is>
      </c>
      <c r="E271" t="inlineStr">
        <is>
          <t>Cashfree</t>
        </is>
      </c>
      <c r="F271" t="inlineStr">
        <is>
          <t>Card</t>
        </is>
      </c>
      <c r="G271" t="inlineStr">
        <is>
          <t>SBI</t>
        </is>
      </c>
      <c r="H271" t="n">
        <v>19542</v>
      </c>
      <c r="I271" t="inlineStr">
        <is>
          <t>Flat</t>
        </is>
      </c>
      <c r="J271" t="n">
        <v>79</v>
      </c>
      <c r="K271" t="inlineStr">
        <is>
          <t>%</t>
        </is>
      </c>
      <c r="L271" t="n">
        <v>1.71</v>
      </c>
      <c r="M271" t="inlineStr">
        <is>
          <t>%</t>
        </is>
      </c>
      <c r="N271" t="n">
        <v>0.63</v>
      </c>
      <c r="O271" t="inlineStr">
        <is>
          <t>PENDING</t>
        </is>
      </c>
      <c r="P271" t="inlineStr">
        <is>
          <t>NOT_CAPTURED</t>
        </is>
      </c>
    </row>
    <row r="272">
      <c r="A272" t="inlineStr">
        <is>
          <t>ORD0271</t>
        </is>
      </c>
      <c r="B272" t="inlineStr">
        <is>
          <t>22-02-2026</t>
        </is>
      </c>
      <c r="C272" t="inlineStr">
        <is>
          <t>Student_271</t>
        </is>
      </c>
      <c r="D272" t="inlineStr">
        <is>
          <t>ERP_B</t>
        </is>
      </c>
      <c r="E272" t="inlineStr">
        <is>
          <t>Razorpay</t>
        </is>
      </c>
      <c r="F272" t="inlineStr">
        <is>
          <t>NetBanking</t>
        </is>
      </c>
      <c r="G272" t="inlineStr">
        <is>
          <t>SBI</t>
        </is>
      </c>
      <c r="H272" t="n">
        <v>13271</v>
      </c>
      <c r="I272" t="inlineStr">
        <is>
          <t>Flat</t>
        </is>
      </c>
      <c r="J272" t="n">
        <v>71</v>
      </c>
      <c r="K272" t="inlineStr">
        <is>
          <t>Flat</t>
        </is>
      </c>
      <c r="L272" t="n">
        <v>99</v>
      </c>
      <c r="M272" t="inlineStr">
        <is>
          <t>Flat</t>
        </is>
      </c>
      <c r="N272" t="n">
        <v>74</v>
      </c>
      <c r="O272" t="inlineStr">
        <is>
          <t>PENDING</t>
        </is>
      </c>
      <c r="P272" t="inlineStr">
        <is>
          <t>NOT_CAPTURED</t>
        </is>
      </c>
    </row>
    <row r="273">
      <c r="A273" t="inlineStr">
        <is>
          <t>ORD0272</t>
        </is>
      </c>
      <c r="B273" t="inlineStr">
        <is>
          <t>06-02-2026</t>
        </is>
      </c>
      <c r="C273" t="inlineStr">
        <is>
          <t>Student_272</t>
        </is>
      </c>
      <c r="D273" t="inlineStr">
        <is>
          <t>ERP_C</t>
        </is>
      </c>
      <c r="E273" t="inlineStr">
        <is>
          <t>Razorpay</t>
        </is>
      </c>
      <c r="F273" t="inlineStr">
        <is>
          <t>UPI</t>
        </is>
      </c>
      <c r="G273" t="inlineStr">
        <is>
          <t>HDFC</t>
        </is>
      </c>
      <c r="H273" t="n">
        <v>19976</v>
      </c>
      <c r="I273" t="inlineStr">
        <is>
          <t>%</t>
        </is>
      </c>
      <c r="J273" t="n">
        <v>1.39</v>
      </c>
      <c r="K273" t="inlineStr">
        <is>
          <t>%</t>
        </is>
      </c>
      <c r="L273" t="n">
        <v>1.69</v>
      </c>
      <c r="M273" t="inlineStr">
        <is>
          <t>Flat</t>
        </is>
      </c>
      <c r="N273" t="n">
        <v>49</v>
      </c>
      <c r="O273" t="inlineStr">
        <is>
          <t>PENDING</t>
        </is>
      </c>
      <c r="P273" t="inlineStr">
        <is>
          <t>NOT_CAPTURED</t>
        </is>
      </c>
    </row>
    <row r="274">
      <c r="A274" t="inlineStr">
        <is>
          <t>ORD0273</t>
        </is>
      </c>
      <c r="B274" t="inlineStr">
        <is>
          <t>08-01-2026</t>
        </is>
      </c>
      <c r="C274" t="inlineStr">
        <is>
          <t>Student_273</t>
        </is>
      </c>
      <c r="D274" t="inlineStr">
        <is>
          <t>ERP_C</t>
        </is>
      </c>
      <c r="E274" t="inlineStr">
        <is>
          <t>Razorpay</t>
        </is>
      </c>
      <c r="F274" t="inlineStr">
        <is>
          <t>Wallet</t>
        </is>
      </c>
      <c r="G274" t="inlineStr">
        <is>
          <t>SBI</t>
        </is>
      </c>
      <c r="H274" t="n">
        <v>5736</v>
      </c>
      <c r="I274" t="inlineStr">
        <is>
          <t>Flat</t>
        </is>
      </c>
      <c r="J274" t="n">
        <v>88</v>
      </c>
      <c r="K274" t="inlineStr">
        <is>
          <t>Flat</t>
        </is>
      </c>
      <c r="L274" t="n">
        <v>96</v>
      </c>
      <c r="M274" t="inlineStr">
        <is>
          <t>%</t>
        </is>
      </c>
      <c r="N274" t="n">
        <v>0.55</v>
      </c>
      <c r="O274" t="inlineStr">
        <is>
          <t>FAILED</t>
        </is>
      </c>
      <c r="P274" t="inlineStr">
        <is>
          <t>NOT_CAPTURED</t>
        </is>
      </c>
    </row>
    <row r="275">
      <c r="A275" t="inlineStr">
        <is>
          <t>ORD0274</t>
        </is>
      </c>
      <c r="B275" t="inlineStr">
        <is>
          <t>03-01-2026</t>
        </is>
      </c>
      <c r="C275" t="inlineStr">
        <is>
          <t>Student_274</t>
        </is>
      </c>
      <c r="D275" t="inlineStr">
        <is>
          <t>ERP_B</t>
        </is>
      </c>
      <c r="E275" t="inlineStr">
        <is>
          <t>Razorpay</t>
        </is>
      </c>
      <c r="F275" t="inlineStr">
        <is>
          <t>UPI</t>
        </is>
      </c>
      <c r="G275" t="inlineStr">
        <is>
          <t>SBI</t>
        </is>
      </c>
      <c r="H275" t="n">
        <v>17821</v>
      </c>
      <c r="I275" t="inlineStr">
        <is>
          <t>Flat</t>
        </is>
      </c>
      <c r="J275" t="n">
        <v>62</v>
      </c>
      <c r="K275" t="inlineStr">
        <is>
          <t>%</t>
        </is>
      </c>
      <c r="L275" t="n">
        <v>1.88</v>
      </c>
      <c r="M275" t="inlineStr">
        <is>
          <t>%</t>
        </is>
      </c>
      <c r="N275" t="n">
        <v>0.92</v>
      </c>
      <c r="O275" t="inlineStr">
        <is>
          <t>PENDING</t>
        </is>
      </c>
      <c r="P275" t="inlineStr">
        <is>
          <t>NOT_CAPTURED</t>
        </is>
      </c>
    </row>
    <row r="276">
      <c r="A276" t="inlineStr">
        <is>
          <t>ORD0275</t>
        </is>
      </c>
      <c r="B276" t="inlineStr">
        <is>
          <t>09-02-2026</t>
        </is>
      </c>
      <c r="C276" t="inlineStr">
        <is>
          <t>Student_275</t>
        </is>
      </c>
      <c r="D276" t="inlineStr">
        <is>
          <t>ERP_B</t>
        </is>
      </c>
      <c r="E276" t="inlineStr">
        <is>
          <t>Razorpay</t>
        </is>
      </c>
      <c r="F276" t="inlineStr">
        <is>
          <t>Wallet</t>
        </is>
      </c>
      <c r="G276" t="inlineStr">
        <is>
          <t>HDFC</t>
        </is>
      </c>
      <c r="H276" t="n">
        <v>10166</v>
      </c>
      <c r="I276" t="inlineStr">
        <is>
          <t>Flat</t>
        </is>
      </c>
      <c r="J276" t="n">
        <v>56</v>
      </c>
      <c r="K276" t="inlineStr">
        <is>
          <t>%</t>
        </is>
      </c>
      <c r="L276" t="n">
        <v>1.69</v>
      </c>
      <c r="M276" t="inlineStr">
        <is>
          <t>Flat</t>
        </is>
      </c>
      <c r="N276" t="n">
        <v>38</v>
      </c>
      <c r="O276" t="inlineStr">
        <is>
          <t>PENDING</t>
        </is>
      </c>
      <c r="P276" t="inlineStr">
        <is>
          <t>NOT_CAPTURED</t>
        </is>
      </c>
    </row>
    <row r="277">
      <c r="A277" t="inlineStr">
        <is>
          <t>ORD0276</t>
        </is>
      </c>
      <c r="B277" t="inlineStr">
        <is>
          <t>26-01-2026</t>
        </is>
      </c>
      <c r="C277" t="inlineStr">
        <is>
          <t>Student_276</t>
        </is>
      </c>
      <c r="D277" t="inlineStr">
        <is>
          <t>ERP_C</t>
        </is>
      </c>
      <c r="E277" t="inlineStr">
        <is>
          <t>Cashfree</t>
        </is>
      </c>
      <c r="F277" t="inlineStr">
        <is>
          <t>Card</t>
        </is>
      </c>
      <c r="G277" t="inlineStr">
        <is>
          <t>SBI</t>
        </is>
      </c>
      <c r="H277" t="n">
        <v>15549</v>
      </c>
      <c r="I277" t="inlineStr">
        <is>
          <t>Flat</t>
        </is>
      </c>
      <c r="J277" t="n">
        <v>82</v>
      </c>
      <c r="K277" t="inlineStr">
        <is>
          <t>%</t>
        </is>
      </c>
      <c r="L277" t="n">
        <v>1.62</v>
      </c>
      <c r="M277" t="inlineStr">
        <is>
          <t>Flat</t>
        </is>
      </c>
      <c r="N277" t="n">
        <v>46</v>
      </c>
      <c r="O277" t="inlineStr">
        <is>
          <t>PENDING</t>
        </is>
      </c>
      <c r="P277" t="inlineStr">
        <is>
          <t>NOT_CAPTURED</t>
        </is>
      </c>
    </row>
    <row r="278">
      <c r="A278" t="inlineStr">
        <is>
          <t>ORD0277</t>
        </is>
      </c>
      <c r="B278" t="inlineStr">
        <is>
          <t>05-02-2026</t>
        </is>
      </c>
      <c r="C278" t="inlineStr">
        <is>
          <t>Student_277</t>
        </is>
      </c>
      <c r="D278" t="inlineStr">
        <is>
          <t>ERP_B</t>
        </is>
      </c>
      <c r="E278" t="inlineStr">
        <is>
          <t>PayU</t>
        </is>
      </c>
      <c r="F278" t="inlineStr">
        <is>
          <t>Wallet</t>
        </is>
      </c>
      <c r="G278" t="inlineStr">
        <is>
          <t>ICICI</t>
        </is>
      </c>
      <c r="H278" t="n">
        <v>4817</v>
      </c>
      <c r="I278" t="inlineStr">
        <is>
          <t>Flat</t>
        </is>
      </c>
      <c r="J278" t="n">
        <v>94</v>
      </c>
      <c r="K278" t="inlineStr">
        <is>
          <t>%</t>
        </is>
      </c>
      <c r="L278" t="n">
        <v>1.38</v>
      </c>
      <c r="M278" t="inlineStr">
        <is>
          <t>%</t>
        </is>
      </c>
      <c r="N278" t="n">
        <v>0.82</v>
      </c>
      <c r="O278" t="inlineStr">
        <is>
          <t>SUCCESS</t>
        </is>
      </c>
      <c r="P278" t="inlineStr">
        <is>
          <t>CAPTURED</t>
        </is>
      </c>
    </row>
    <row r="279">
      <c r="A279" t="inlineStr">
        <is>
          <t>ORD0278</t>
        </is>
      </c>
      <c r="B279" t="inlineStr">
        <is>
          <t>23-01-2026</t>
        </is>
      </c>
      <c r="C279" t="inlineStr">
        <is>
          <t>Student_278</t>
        </is>
      </c>
      <c r="D279" t="inlineStr">
        <is>
          <t>ERP_B</t>
        </is>
      </c>
      <c r="E279" t="inlineStr">
        <is>
          <t>PayU</t>
        </is>
      </c>
      <c r="F279" t="inlineStr">
        <is>
          <t>UPI</t>
        </is>
      </c>
      <c r="G279" t="inlineStr">
        <is>
          <t>HDFC</t>
        </is>
      </c>
      <c r="H279" t="n">
        <v>1099</v>
      </c>
      <c r="I279" t="inlineStr">
        <is>
          <t>%</t>
        </is>
      </c>
      <c r="J279" t="n">
        <v>1.22</v>
      </c>
      <c r="K279" t="inlineStr">
        <is>
          <t>Flat</t>
        </is>
      </c>
      <c r="L279" t="n">
        <v>132</v>
      </c>
      <c r="M279" t="inlineStr">
        <is>
          <t>%</t>
        </is>
      </c>
      <c r="N279" t="n">
        <v>0.66</v>
      </c>
      <c r="O279" t="inlineStr">
        <is>
          <t>PENDING</t>
        </is>
      </c>
      <c r="P279" t="inlineStr">
        <is>
          <t>NOT_CAPTURED</t>
        </is>
      </c>
    </row>
    <row r="280">
      <c r="A280" t="inlineStr">
        <is>
          <t>ORD0279</t>
        </is>
      </c>
      <c r="B280" t="inlineStr">
        <is>
          <t>04-01-2026</t>
        </is>
      </c>
      <c r="C280" t="inlineStr">
        <is>
          <t>Student_279</t>
        </is>
      </c>
      <c r="D280" t="inlineStr">
        <is>
          <t>ERP_B</t>
        </is>
      </c>
      <c r="E280" t="inlineStr">
        <is>
          <t>Razorpay</t>
        </is>
      </c>
      <c r="F280" t="inlineStr">
        <is>
          <t>Card</t>
        </is>
      </c>
      <c r="G280" t="inlineStr">
        <is>
          <t>ICICI</t>
        </is>
      </c>
      <c r="H280" t="n">
        <v>14576</v>
      </c>
      <c r="I280" t="inlineStr">
        <is>
          <t>%</t>
        </is>
      </c>
      <c r="J280" t="n">
        <v>0.98</v>
      </c>
      <c r="K280" t="inlineStr">
        <is>
          <t>%</t>
        </is>
      </c>
      <c r="L280" t="n">
        <v>1.34</v>
      </c>
      <c r="M280" t="inlineStr">
        <is>
          <t>Flat</t>
        </is>
      </c>
      <c r="N280" t="n">
        <v>10</v>
      </c>
      <c r="O280" t="inlineStr">
        <is>
          <t>PENDING</t>
        </is>
      </c>
      <c r="P280" t="inlineStr">
        <is>
          <t>NOT_CAPTURED</t>
        </is>
      </c>
    </row>
    <row r="281">
      <c r="A281" t="inlineStr">
        <is>
          <t>ORD0280</t>
        </is>
      </c>
      <c r="B281" t="inlineStr">
        <is>
          <t>11-01-2026</t>
        </is>
      </c>
      <c r="C281" t="inlineStr">
        <is>
          <t>Student_280</t>
        </is>
      </c>
      <c r="D281" t="inlineStr">
        <is>
          <t>ERP_A</t>
        </is>
      </c>
      <c r="E281" t="inlineStr">
        <is>
          <t>Razorpay</t>
        </is>
      </c>
      <c r="F281" t="inlineStr">
        <is>
          <t>Card</t>
        </is>
      </c>
      <c r="G281" t="inlineStr">
        <is>
          <t>HDFC</t>
        </is>
      </c>
      <c r="H281" t="n">
        <v>1169</v>
      </c>
      <c r="I281" t="inlineStr">
        <is>
          <t>Flat</t>
        </is>
      </c>
      <c r="J281" t="n">
        <v>50</v>
      </c>
      <c r="K281" t="inlineStr">
        <is>
          <t>%</t>
        </is>
      </c>
      <c r="L281" t="n">
        <v>1.37</v>
      </c>
      <c r="M281" t="inlineStr">
        <is>
          <t>%</t>
        </is>
      </c>
      <c r="N281" t="n">
        <v>0.85</v>
      </c>
      <c r="O281" t="inlineStr">
        <is>
          <t>PENDING</t>
        </is>
      </c>
      <c r="P281" t="inlineStr">
        <is>
          <t>NOT_CAPTURED</t>
        </is>
      </c>
    </row>
    <row r="282">
      <c r="A282" t="inlineStr">
        <is>
          <t>ORD0281</t>
        </is>
      </c>
      <c r="B282" t="inlineStr">
        <is>
          <t>11-02-2026</t>
        </is>
      </c>
      <c r="C282" t="inlineStr">
        <is>
          <t>Student_281</t>
        </is>
      </c>
      <c r="D282" t="inlineStr">
        <is>
          <t>ERP_B</t>
        </is>
      </c>
      <c r="E282" t="inlineStr">
        <is>
          <t>Cashfree</t>
        </is>
      </c>
      <c r="F282" t="inlineStr">
        <is>
          <t>NetBanking</t>
        </is>
      </c>
      <c r="G282" t="inlineStr">
        <is>
          <t>ICICI</t>
        </is>
      </c>
      <c r="H282" t="n">
        <v>13892</v>
      </c>
      <c r="I282" t="inlineStr">
        <is>
          <t>%</t>
        </is>
      </c>
      <c r="J282" t="n">
        <v>1.24</v>
      </c>
      <c r="K282" t="inlineStr">
        <is>
          <t>Flat</t>
        </is>
      </c>
      <c r="L282" t="n">
        <v>211</v>
      </c>
      <c r="M282" t="inlineStr">
        <is>
          <t>Flat</t>
        </is>
      </c>
      <c r="N282" t="n">
        <v>66</v>
      </c>
      <c r="O282" t="inlineStr">
        <is>
          <t>FAILED</t>
        </is>
      </c>
      <c r="P282" t="inlineStr">
        <is>
          <t>NOT_CAPTURED</t>
        </is>
      </c>
    </row>
    <row r="283">
      <c r="A283" t="inlineStr">
        <is>
          <t>ORD0282</t>
        </is>
      </c>
      <c r="B283" t="inlineStr">
        <is>
          <t>14-01-2026</t>
        </is>
      </c>
      <c r="C283" t="inlineStr">
        <is>
          <t>Student_282</t>
        </is>
      </c>
      <c r="D283" t="inlineStr">
        <is>
          <t>ERP_C</t>
        </is>
      </c>
      <c r="E283" t="inlineStr">
        <is>
          <t>Razorpay</t>
        </is>
      </c>
      <c r="F283" t="inlineStr">
        <is>
          <t>UPI</t>
        </is>
      </c>
      <c r="G283" t="inlineStr">
        <is>
          <t>SBI</t>
        </is>
      </c>
      <c r="H283" t="n">
        <v>10520</v>
      </c>
      <c r="I283" t="inlineStr">
        <is>
          <t>Flat</t>
        </is>
      </c>
      <c r="J283" t="n">
        <v>33</v>
      </c>
      <c r="K283" t="inlineStr">
        <is>
          <t>Flat</t>
        </is>
      </c>
      <c r="L283" t="n">
        <v>68</v>
      </c>
      <c r="M283" t="inlineStr">
        <is>
          <t>Flat</t>
        </is>
      </c>
      <c r="N283" t="n">
        <v>78</v>
      </c>
      <c r="O283" t="inlineStr">
        <is>
          <t>SUCCESS</t>
        </is>
      </c>
      <c r="P283" t="inlineStr">
        <is>
          <t>CAPTURED</t>
        </is>
      </c>
    </row>
    <row r="284">
      <c r="A284" t="inlineStr">
        <is>
          <t>ORD0283</t>
        </is>
      </c>
      <c r="B284" t="inlineStr">
        <is>
          <t>15-01-2026</t>
        </is>
      </c>
      <c r="C284" t="inlineStr">
        <is>
          <t>Student_283</t>
        </is>
      </c>
      <c r="D284" t="inlineStr">
        <is>
          <t>ERP_B</t>
        </is>
      </c>
      <c r="E284" t="inlineStr">
        <is>
          <t>PayU</t>
        </is>
      </c>
      <c r="F284" t="inlineStr">
        <is>
          <t>NetBanking</t>
        </is>
      </c>
      <c r="G284" t="inlineStr">
        <is>
          <t>ICICI</t>
        </is>
      </c>
      <c r="H284" t="n">
        <v>5600</v>
      </c>
      <c r="I284" t="inlineStr">
        <is>
          <t>Flat</t>
        </is>
      </c>
      <c r="J284" t="n">
        <v>75</v>
      </c>
      <c r="K284" t="inlineStr">
        <is>
          <t>%</t>
        </is>
      </c>
      <c r="L284" t="n">
        <v>1.62</v>
      </c>
      <c r="M284" t="inlineStr">
        <is>
          <t>%</t>
        </is>
      </c>
      <c r="N284" t="n">
        <v>0.87</v>
      </c>
      <c r="O284" t="inlineStr">
        <is>
          <t>SUCCESS</t>
        </is>
      </c>
      <c r="P284" t="inlineStr">
        <is>
          <t>CAPTURED</t>
        </is>
      </c>
    </row>
    <row r="285">
      <c r="A285" t="inlineStr">
        <is>
          <t>ORD0284</t>
        </is>
      </c>
      <c r="B285" t="inlineStr">
        <is>
          <t>20-01-2026</t>
        </is>
      </c>
      <c r="C285" t="inlineStr">
        <is>
          <t>Student_284</t>
        </is>
      </c>
      <c r="D285" t="inlineStr">
        <is>
          <t>ERP_B</t>
        </is>
      </c>
      <c r="E285" t="inlineStr">
        <is>
          <t>Razorpay</t>
        </is>
      </c>
      <c r="F285" t="inlineStr">
        <is>
          <t>Card</t>
        </is>
      </c>
      <c r="G285" t="inlineStr">
        <is>
          <t>SBI</t>
        </is>
      </c>
      <c r="H285" t="n">
        <v>15813</v>
      </c>
      <c r="I285" t="inlineStr">
        <is>
          <t>Flat</t>
        </is>
      </c>
      <c r="J285" t="n">
        <v>53</v>
      </c>
      <c r="K285" t="inlineStr">
        <is>
          <t>%</t>
        </is>
      </c>
      <c r="L285" t="n">
        <v>1.75</v>
      </c>
      <c r="M285" t="inlineStr">
        <is>
          <t>Flat</t>
        </is>
      </c>
      <c r="N285" t="n">
        <v>12</v>
      </c>
      <c r="O285" t="inlineStr">
        <is>
          <t>FAILED</t>
        </is>
      </c>
      <c r="P285" t="inlineStr">
        <is>
          <t>NOT_CAPTURED</t>
        </is>
      </c>
    </row>
    <row r="286">
      <c r="A286" t="inlineStr">
        <is>
          <t>ORD0285</t>
        </is>
      </c>
      <c r="B286" t="inlineStr">
        <is>
          <t>12-02-2026</t>
        </is>
      </c>
      <c r="C286" t="inlineStr">
        <is>
          <t>Student_285</t>
        </is>
      </c>
      <c r="D286" t="inlineStr">
        <is>
          <t>ERP_C</t>
        </is>
      </c>
      <c r="E286" t="inlineStr">
        <is>
          <t>PayU</t>
        </is>
      </c>
      <c r="F286" t="inlineStr">
        <is>
          <t>Card</t>
        </is>
      </c>
      <c r="G286" t="inlineStr">
        <is>
          <t>SBI</t>
        </is>
      </c>
      <c r="H286" t="n">
        <v>16857</v>
      </c>
      <c r="I286" t="inlineStr">
        <is>
          <t>%</t>
        </is>
      </c>
      <c r="J286" t="n">
        <v>0.97</v>
      </c>
      <c r="K286" t="inlineStr">
        <is>
          <t>Flat</t>
        </is>
      </c>
      <c r="L286" t="n">
        <v>193</v>
      </c>
      <c r="M286" t="inlineStr">
        <is>
          <t>%</t>
        </is>
      </c>
      <c r="N286" t="n">
        <v>0.92</v>
      </c>
      <c r="O286" t="inlineStr">
        <is>
          <t>SUCCESS</t>
        </is>
      </c>
      <c r="P286" t="inlineStr">
        <is>
          <t>CAPTURED</t>
        </is>
      </c>
    </row>
    <row r="287">
      <c r="A287" t="inlineStr">
        <is>
          <t>ORD0286</t>
        </is>
      </c>
      <c r="B287" t="inlineStr">
        <is>
          <t>21-02-2026</t>
        </is>
      </c>
      <c r="C287" t="inlineStr">
        <is>
          <t>Student_286</t>
        </is>
      </c>
      <c r="D287" t="inlineStr">
        <is>
          <t>ERP_B</t>
        </is>
      </c>
      <c r="E287" t="inlineStr">
        <is>
          <t>Cashfree</t>
        </is>
      </c>
      <c r="F287" t="inlineStr">
        <is>
          <t>Wallet</t>
        </is>
      </c>
      <c r="G287" t="inlineStr">
        <is>
          <t>SBI</t>
        </is>
      </c>
      <c r="H287" t="n">
        <v>8814</v>
      </c>
      <c r="I287" t="inlineStr">
        <is>
          <t>Flat</t>
        </is>
      </c>
      <c r="J287" t="n">
        <v>36</v>
      </c>
      <c r="K287" t="inlineStr">
        <is>
          <t>%</t>
        </is>
      </c>
      <c r="L287" t="n">
        <v>1.23</v>
      </c>
      <c r="M287" t="inlineStr">
        <is>
          <t>%</t>
        </is>
      </c>
      <c r="N287" t="n">
        <v>0.8</v>
      </c>
      <c r="O287" t="inlineStr">
        <is>
          <t>SUCCESS</t>
        </is>
      </c>
      <c r="P287" t="inlineStr">
        <is>
          <t>CAPTURED</t>
        </is>
      </c>
    </row>
    <row r="288">
      <c r="A288" t="inlineStr">
        <is>
          <t>ORD0287</t>
        </is>
      </c>
      <c r="B288" t="inlineStr">
        <is>
          <t>13-02-2026</t>
        </is>
      </c>
      <c r="C288" t="inlineStr">
        <is>
          <t>Student_287</t>
        </is>
      </c>
      <c r="D288" t="inlineStr">
        <is>
          <t>ERP_A</t>
        </is>
      </c>
      <c r="E288" t="inlineStr">
        <is>
          <t>PayU</t>
        </is>
      </c>
      <c r="F288" t="inlineStr">
        <is>
          <t>NetBanking</t>
        </is>
      </c>
      <c r="G288" t="inlineStr">
        <is>
          <t>Axis</t>
        </is>
      </c>
      <c r="H288" t="n">
        <v>1480</v>
      </c>
      <c r="I288" t="inlineStr">
        <is>
          <t>Flat</t>
        </is>
      </c>
      <c r="J288" t="n">
        <v>79</v>
      </c>
      <c r="K288" t="inlineStr">
        <is>
          <t>%</t>
        </is>
      </c>
      <c r="L288" t="n">
        <v>1.52</v>
      </c>
      <c r="M288" t="inlineStr">
        <is>
          <t>%</t>
        </is>
      </c>
      <c r="N288" t="n">
        <v>0.62</v>
      </c>
      <c r="O288" t="inlineStr">
        <is>
          <t>PENDING</t>
        </is>
      </c>
      <c r="P288" t="inlineStr">
        <is>
          <t>NOT_CAPTURED</t>
        </is>
      </c>
    </row>
    <row r="289">
      <c r="A289" t="inlineStr">
        <is>
          <t>ORD0288</t>
        </is>
      </c>
      <c r="B289" t="inlineStr">
        <is>
          <t>09-01-2026</t>
        </is>
      </c>
      <c r="C289" t="inlineStr">
        <is>
          <t>Student_288</t>
        </is>
      </c>
      <c r="D289" t="inlineStr">
        <is>
          <t>ERP_B</t>
        </is>
      </c>
      <c r="E289" t="inlineStr">
        <is>
          <t>Cashfree</t>
        </is>
      </c>
      <c r="F289" t="inlineStr">
        <is>
          <t>Wallet</t>
        </is>
      </c>
      <c r="G289" t="inlineStr">
        <is>
          <t>SBI</t>
        </is>
      </c>
      <c r="H289" t="n">
        <v>5156</v>
      </c>
      <c r="I289" t="inlineStr">
        <is>
          <t>%</t>
        </is>
      </c>
      <c r="J289" t="n">
        <v>1.1</v>
      </c>
      <c r="K289" t="inlineStr">
        <is>
          <t>Flat</t>
        </is>
      </c>
      <c r="L289" t="n">
        <v>160</v>
      </c>
      <c r="M289" t="inlineStr">
        <is>
          <t>%</t>
        </is>
      </c>
      <c r="N289" t="n">
        <v>0.83</v>
      </c>
      <c r="O289" t="inlineStr">
        <is>
          <t>FAILED</t>
        </is>
      </c>
      <c r="P289" t="inlineStr">
        <is>
          <t>NOT_CAPTURED</t>
        </is>
      </c>
    </row>
    <row r="290">
      <c r="A290" t="inlineStr">
        <is>
          <t>ORD0289</t>
        </is>
      </c>
      <c r="B290" t="inlineStr">
        <is>
          <t>12-01-2026</t>
        </is>
      </c>
      <c r="C290" t="inlineStr">
        <is>
          <t>Student_289</t>
        </is>
      </c>
      <c r="D290" t="inlineStr">
        <is>
          <t>ERP_B</t>
        </is>
      </c>
      <c r="E290" t="inlineStr">
        <is>
          <t>PayU</t>
        </is>
      </c>
      <c r="F290" t="inlineStr">
        <is>
          <t>UPI</t>
        </is>
      </c>
      <c r="G290" t="inlineStr">
        <is>
          <t>HDFC</t>
        </is>
      </c>
      <c r="H290" t="n">
        <v>5221</v>
      </c>
      <c r="I290" t="inlineStr">
        <is>
          <t>Flat</t>
        </is>
      </c>
      <c r="J290" t="n">
        <v>20</v>
      </c>
      <c r="K290" t="inlineStr">
        <is>
          <t>Flat</t>
        </is>
      </c>
      <c r="L290" t="n">
        <v>207</v>
      </c>
      <c r="M290" t="inlineStr">
        <is>
          <t>Flat</t>
        </is>
      </c>
      <c r="N290" t="n">
        <v>70</v>
      </c>
      <c r="O290" t="inlineStr">
        <is>
          <t>FAILED</t>
        </is>
      </c>
      <c r="P290" t="inlineStr">
        <is>
          <t>NOT_CAPTURED</t>
        </is>
      </c>
    </row>
    <row r="291">
      <c r="A291" t="inlineStr">
        <is>
          <t>ORD0290</t>
        </is>
      </c>
      <c r="B291" t="inlineStr">
        <is>
          <t>06-01-2026</t>
        </is>
      </c>
      <c r="C291" t="inlineStr">
        <is>
          <t>Student_290</t>
        </is>
      </c>
      <c r="D291" t="inlineStr">
        <is>
          <t>ERP_A</t>
        </is>
      </c>
      <c r="E291" t="inlineStr">
        <is>
          <t>Razorpay</t>
        </is>
      </c>
      <c r="F291" t="inlineStr">
        <is>
          <t>NetBanking</t>
        </is>
      </c>
      <c r="G291" t="inlineStr">
        <is>
          <t>Axis</t>
        </is>
      </c>
      <c r="H291" t="n">
        <v>13462</v>
      </c>
      <c r="I291" t="inlineStr">
        <is>
          <t>Flat</t>
        </is>
      </c>
      <c r="J291" t="n">
        <v>89</v>
      </c>
      <c r="K291" t="inlineStr">
        <is>
          <t>Flat</t>
        </is>
      </c>
      <c r="L291" t="n">
        <v>62</v>
      </c>
      <c r="M291" t="inlineStr">
        <is>
          <t>%</t>
        </is>
      </c>
      <c r="N291" t="n">
        <v>0.9</v>
      </c>
      <c r="O291" t="inlineStr">
        <is>
          <t>SUCCESS</t>
        </is>
      </c>
      <c r="P291" t="inlineStr">
        <is>
          <t>CAPTURED</t>
        </is>
      </c>
    </row>
    <row r="292">
      <c r="A292" t="inlineStr">
        <is>
          <t>ORD0291</t>
        </is>
      </c>
      <c r="B292" t="inlineStr">
        <is>
          <t>13-01-2026</t>
        </is>
      </c>
      <c r="C292" t="inlineStr">
        <is>
          <t>Student_291</t>
        </is>
      </c>
      <c r="D292" t="inlineStr">
        <is>
          <t>ERP_B</t>
        </is>
      </c>
      <c r="E292" t="inlineStr">
        <is>
          <t>PayU</t>
        </is>
      </c>
      <c r="F292" t="inlineStr">
        <is>
          <t>Card</t>
        </is>
      </c>
      <c r="G292" t="inlineStr">
        <is>
          <t>Axis</t>
        </is>
      </c>
      <c r="H292" t="n">
        <v>7488</v>
      </c>
      <c r="I292" t="inlineStr">
        <is>
          <t>%</t>
        </is>
      </c>
      <c r="J292" t="n">
        <v>1.1</v>
      </c>
      <c r="K292" t="inlineStr">
        <is>
          <t>Flat</t>
        </is>
      </c>
      <c r="L292" t="n">
        <v>187</v>
      </c>
      <c r="M292" t="inlineStr">
        <is>
          <t>%</t>
        </is>
      </c>
      <c r="N292" t="n">
        <v>0.66</v>
      </c>
      <c r="O292" t="inlineStr">
        <is>
          <t>PENDING</t>
        </is>
      </c>
      <c r="P292" t="inlineStr">
        <is>
          <t>NOT_CAPTURED</t>
        </is>
      </c>
    </row>
    <row r="293">
      <c r="A293" t="inlineStr">
        <is>
          <t>ORD0292</t>
        </is>
      </c>
      <c r="B293" t="inlineStr">
        <is>
          <t>21-01-2026</t>
        </is>
      </c>
      <c r="C293" t="inlineStr">
        <is>
          <t>Student_292</t>
        </is>
      </c>
      <c r="D293" t="inlineStr">
        <is>
          <t>ERP_C</t>
        </is>
      </c>
      <c r="E293" t="inlineStr">
        <is>
          <t>PayU</t>
        </is>
      </c>
      <c r="F293" t="inlineStr">
        <is>
          <t>UPI</t>
        </is>
      </c>
      <c r="G293" t="inlineStr">
        <is>
          <t>SBI</t>
        </is>
      </c>
      <c r="H293" t="n">
        <v>3478</v>
      </c>
      <c r="I293" t="inlineStr">
        <is>
          <t>Flat</t>
        </is>
      </c>
      <c r="J293" t="n">
        <v>45</v>
      </c>
      <c r="K293" t="inlineStr">
        <is>
          <t>%</t>
        </is>
      </c>
      <c r="L293" t="n">
        <v>1.32</v>
      </c>
      <c r="M293" t="inlineStr">
        <is>
          <t>Flat</t>
        </is>
      </c>
      <c r="N293" t="n">
        <v>29</v>
      </c>
      <c r="O293" t="inlineStr">
        <is>
          <t>PENDING</t>
        </is>
      </c>
      <c r="P293" t="inlineStr">
        <is>
          <t>NOT_CAPTURED</t>
        </is>
      </c>
    </row>
    <row r="294">
      <c r="A294" t="inlineStr">
        <is>
          <t>ORD0293</t>
        </is>
      </c>
      <c r="B294" t="inlineStr">
        <is>
          <t>22-01-2026</t>
        </is>
      </c>
      <c r="C294" t="inlineStr">
        <is>
          <t>Student_293</t>
        </is>
      </c>
      <c r="D294" t="inlineStr">
        <is>
          <t>ERP_A</t>
        </is>
      </c>
      <c r="E294" t="inlineStr">
        <is>
          <t>Cashfree</t>
        </is>
      </c>
      <c r="F294" t="inlineStr">
        <is>
          <t>Card</t>
        </is>
      </c>
      <c r="G294" t="inlineStr">
        <is>
          <t>HDFC</t>
        </is>
      </c>
      <c r="H294" t="n">
        <v>2474</v>
      </c>
      <c r="I294" t="inlineStr">
        <is>
          <t>%</t>
        </is>
      </c>
      <c r="J294" t="n">
        <v>1</v>
      </c>
      <c r="K294" t="inlineStr">
        <is>
          <t>Flat</t>
        </is>
      </c>
      <c r="L294" t="n">
        <v>186</v>
      </c>
      <c r="M294" t="inlineStr">
        <is>
          <t>%</t>
        </is>
      </c>
      <c r="N294" t="n">
        <v>0.88</v>
      </c>
      <c r="O294" t="inlineStr">
        <is>
          <t>SUCCESS</t>
        </is>
      </c>
      <c r="P294" t="inlineStr">
        <is>
          <t>CAPTURED</t>
        </is>
      </c>
    </row>
    <row r="295">
      <c r="A295" t="inlineStr">
        <is>
          <t>ORD0294</t>
        </is>
      </c>
      <c r="B295" t="inlineStr">
        <is>
          <t>15-01-2026</t>
        </is>
      </c>
      <c r="C295" t="inlineStr">
        <is>
          <t>Student_294</t>
        </is>
      </c>
      <c r="D295" t="inlineStr">
        <is>
          <t>ERP_B</t>
        </is>
      </c>
      <c r="E295" t="inlineStr">
        <is>
          <t>Razorpay</t>
        </is>
      </c>
      <c r="F295" t="inlineStr">
        <is>
          <t>Wallet</t>
        </is>
      </c>
      <c r="G295" t="inlineStr">
        <is>
          <t>Axis</t>
        </is>
      </c>
      <c r="H295" t="n">
        <v>12468</v>
      </c>
      <c r="I295" t="inlineStr">
        <is>
          <t>Flat</t>
        </is>
      </c>
      <c r="J295" t="n">
        <v>20</v>
      </c>
      <c r="K295" t="inlineStr">
        <is>
          <t>Flat</t>
        </is>
      </c>
      <c r="L295" t="n">
        <v>206</v>
      </c>
      <c r="M295" t="inlineStr">
        <is>
          <t>Flat</t>
        </is>
      </c>
      <c r="N295" t="n">
        <v>55</v>
      </c>
      <c r="O295" t="inlineStr">
        <is>
          <t>SUCCESS</t>
        </is>
      </c>
      <c r="P295" t="inlineStr">
        <is>
          <t>CAPTURED</t>
        </is>
      </c>
    </row>
    <row r="296">
      <c r="A296" t="inlineStr">
        <is>
          <t>ORD0295</t>
        </is>
      </c>
      <c r="B296" t="inlineStr">
        <is>
          <t>13-02-2026</t>
        </is>
      </c>
      <c r="C296" t="inlineStr">
        <is>
          <t>Student_295</t>
        </is>
      </c>
      <c r="D296" t="inlineStr">
        <is>
          <t>ERP_A</t>
        </is>
      </c>
      <c r="E296" t="inlineStr">
        <is>
          <t>PayU</t>
        </is>
      </c>
      <c r="F296" t="inlineStr">
        <is>
          <t>NetBanking</t>
        </is>
      </c>
      <c r="G296" t="inlineStr">
        <is>
          <t>HDFC</t>
        </is>
      </c>
      <c r="H296" t="n">
        <v>10987</v>
      </c>
      <c r="I296" t="inlineStr">
        <is>
          <t>%</t>
        </is>
      </c>
      <c r="J296" t="n">
        <v>1.33</v>
      </c>
      <c r="K296" t="inlineStr">
        <is>
          <t>%</t>
        </is>
      </c>
      <c r="L296" t="n">
        <v>1.36</v>
      </c>
      <c r="M296" t="inlineStr">
        <is>
          <t>Flat</t>
        </is>
      </c>
      <c r="N296" t="n">
        <v>52</v>
      </c>
      <c r="O296" t="inlineStr">
        <is>
          <t>PENDING</t>
        </is>
      </c>
      <c r="P296" t="inlineStr">
        <is>
          <t>NOT_CAPTURED</t>
        </is>
      </c>
    </row>
    <row r="297">
      <c r="A297" t="inlineStr">
        <is>
          <t>ORD0296</t>
        </is>
      </c>
      <c r="B297" t="inlineStr">
        <is>
          <t>16-02-2026</t>
        </is>
      </c>
      <c r="C297" t="inlineStr">
        <is>
          <t>Student_296</t>
        </is>
      </c>
      <c r="D297" t="inlineStr">
        <is>
          <t>ERP_A</t>
        </is>
      </c>
      <c r="E297" t="inlineStr">
        <is>
          <t>Cashfree</t>
        </is>
      </c>
      <c r="F297" t="inlineStr">
        <is>
          <t>UPI</t>
        </is>
      </c>
      <c r="G297" t="inlineStr">
        <is>
          <t>ICICI</t>
        </is>
      </c>
      <c r="H297" t="n">
        <v>7075</v>
      </c>
      <c r="I297" t="inlineStr">
        <is>
          <t>%</t>
        </is>
      </c>
      <c r="J297" t="n">
        <v>1.23</v>
      </c>
      <c r="K297" t="inlineStr">
        <is>
          <t>%</t>
        </is>
      </c>
      <c r="L297" t="n">
        <v>1.83</v>
      </c>
      <c r="M297" t="inlineStr">
        <is>
          <t>%</t>
        </is>
      </c>
      <c r="N297" t="n">
        <v>0.63</v>
      </c>
      <c r="O297" t="inlineStr">
        <is>
          <t>SUCCESS</t>
        </is>
      </c>
      <c r="P297" t="inlineStr">
        <is>
          <t>CAPTURED</t>
        </is>
      </c>
    </row>
    <row r="298">
      <c r="A298" t="inlineStr">
        <is>
          <t>ORD0297</t>
        </is>
      </c>
      <c r="B298" t="inlineStr">
        <is>
          <t>07-01-2026</t>
        </is>
      </c>
      <c r="C298" t="inlineStr">
        <is>
          <t>Student_297</t>
        </is>
      </c>
      <c r="D298" t="inlineStr">
        <is>
          <t>ERP_A</t>
        </is>
      </c>
      <c r="E298" t="inlineStr">
        <is>
          <t>Cashfree</t>
        </is>
      </c>
      <c r="F298" t="inlineStr">
        <is>
          <t>NetBanking</t>
        </is>
      </c>
      <c r="G298" t="inlineStr">
        <is>
          <t>SBI</t>
        </is>
      </c>
      <c r="H298" t="n">
        <v>19751</v>
      </c>
      <c r="I298" t="inlineStr">
        <is>
          <t>%</t>
        </is>
      </c>
      <c r="J298" t="n">
        <v>1.1</v>
      </c>
      <c r="K298" t="inlineStr">
        <is>
          <t>%</t>
        </is>
      </c>
      <c r="L298" t="n">
        <v>1.91</v>
      </c>
      <c r="M298" t="inlineStr">
        <is>
          <t>Flat</t>
        </is>
      </c>
      <c r="N298" t="n">
        <v>59</v>
      </c>
      <c r="O298" t="inlineStr">
        <is>
          <t>PENDING</t>
        </is>
      </c>
      <c r="P298" t="inlineStr">
        <is>
          <t>NOT_CAPTURED</t>
        </is>
      </c>
    </row>
    <row r="299">
      <c r="A299" t="inlineStr">
        <is>
          <t>ORD0298</t>
        </is>
      </c>
      <c r="B299" t="inlineStr">
        <is>
          <t>28-02-2026</t>
        </is>
      </c>
      <c r="C299" t="inlineStr">
        <is>
          <t>Student_298</t>
        </is>
      </c>
      <c r="D299" t="inlineStr">
        <is>
          <t>ERP_B</t>
        </is>
      </c>
      <c r="E299" t="inlineStr">
        <is>
          <t>Razorpay</t>
        </is>
      </c>
      <c r="F299" t="inlineStr">
        <is>
          <t>NetBanking</t>
        </is>
      </c>
      <c r="G299" t="inlineStr">
        <is>
          <t>Axis</t>
        </is>
      </c>
      <c r="H299" t="n">
        <v>15927</v>
      </c>
      <c r="I299" t="inlineStr">
        <is>
          <t>%</t>
        </is>
      </c>
      <c r="J299" t="n">
        <v>1</v>
      </c>
      <c r="K299" t="inlineStr">
        <is>
          <t>%</t>
        </is>
      </c>
      <c r="L299" t="n">
        <v>1.71</v>
      </c>
      <c r="M299" t="inlineStr">
        <is>
          <t>%</t>
        </is>
      </c>
      <c r="N299" t="n">
        <v>0.5600000000000001</v>
      </c>
      <c r="O299" t="inlineStr">
        <is>
          <t>SUCCESS</t>
        </is>
      </c>
      <c r="P299" t="inlineStr">
        <is>
          <t>CAPTURED</t>
        </is>
      </c>
    </row>
    <row r="300">
      <c r="A300" t="inlineStr">
        <is>
          <t>ORD0299</t>
        </is>
      </c>
      <c r="B300" t="inlineStr">
        <is>
          <t>24-01-2026</t>
        </is>
      </c>
      <c r="C300" t="inlineStr">
        <is>
          <t>Student_299</t>
        </is>
      </c>
      <c r="D300" t="inlineStr">
        <is>
          <t>ERP_A</t>
        </is>
      </c>
      <c r="E300" t="inlineStr">
        <is>
          <t>Cashfree</t>
        </is>
      </c>
      <c r="F300" t="inlineStr">
        <is>
          <t>NetBanking</t>
        </is>
      </c>
      <c r="G300" t="inlineStr">
        <is>
          <t>HDFC</t>
        </is>
      </c>
      <c r="H300" t="n">
        <v>2866</v>
      </c>
      <c r="I300" t="inlineStr">
        <is>
          <t>%</t>
        </is>
      </c>
      <c r="J300" t="n">
        <v>0.99</v>
      </c>
      <c r="K300" t="inlineStr">
        <is>
          <t>%</t>
        </is>
      </c>
      <c r="L300" t="n">
        <v>1.48</v>
      </c>
      <c r="M300" t="inlineStr">
        <is>
          <t>%</t>
        </is>
      </c>
      <c r="N300" t="n">
        <v>0.74</v>
      </c>
      <c r="O300" t="inlineStr">
        <is>
          <t>PENDING</t>
        </is>
      </c>
      <c r="P300" t="inlineStr">
        <is>
          <t>NOT_CAPTURED</t>
        </is>
      </c>
    </row>
    <row r="301">
      <c r="A301" t="inlineStr">
        <is>
          <t>ORD0300</t>
        </is>
      </c>
      <c r="B301" t="inlineStr">
        <is>
          <t>28-01-2026</t>
        </is>
      </c>
      <c r="C301" t="inlineStr">
        <is>
          <t>Student_300</t>
        </is>
      </c>
      <c r="D301" t="inlineStr">
        <is>
          <t>ERP_A</t>
        </is>
      </c>
      <c r="E301" t="inlineStr">
        <is>
          <t>PayU</t>
        </is>
      </c>
      <c r="F301" t="inlineStr">
        <is>
          <t>Wallet</t>
        </is>
      </c>
      <c r="G301" t="inlineStr">
        <is>
          <t>HDFC</t>
        </is>
      </c>
      <c r="H301" t="n">
        <v>7515</v>
      </c>
      <c r="I301" t="inlineStr">
        <is>
          <t>%</t>
        </is>
      </c>
      <c r="J301" t="n">
        <v>1.32</v>
      </c>
      <c r="K301" t="inlineStr">
        <is>
          <t>%</t>
        </is>
      </c>
      <c r="L301" t="n">
        <v>1.73</v>
      </c>
      <c r="M301" t="inlineStr">
        <is>
          <t>%</t>
        </is>
      </c>
      <c r="N301" t="n">
        <v>0.7</v>
      </c>
      <c r="O301" t="inlineStr">
        <is>
          <t>PENDING</t>
        </is>
      </c>
      <c r="P301" t="inlineStr">
        <is>
          <t>NOT_CAPTURED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Order_ID</t>
        </is>
      </c>
      <c r="B1" s="1" t="inlineStr">
        <is>
          <t>Transaction_Amount</t>
        </is>
      </c>
      <c r="C1" s="1" t="inlineStr">
        <is>
          <t>Partner_Pricing_Amount</t>
        </is>
      </c>
      <c r="D1" s="1" t="inlineStr">
        <is>
          <t>Merchant_Pricing_Amount</t>
        </is>
      </c>
      <c r="E1" s="1" t="inlineStr">
        <is>
          <t>Edviron_Buying_Amount</t>
        </is>
      </c>
      <c r="F1" s="1" t="inlineStr">
        <is>
          <t>ERP_Revenue</t>
        </is>
      </c>
      <c r="G1" s="1" t="inlineStr">
        <is>
          <t>Edviron_Net_Revenue</t>
        </is>
      </c>
      <c r="H1" s="1" t="inlineStr">
        <is>
          <t>Edviron_Gross_Revenue</t>
        </is>
      </c>
    </row>
    <row r="2">
      <c r="A2">
        <f>RAW_ORDERS!A2</f>
        <v/>
      </c>
      <c r="B2">
        <f>RAW_ORDERS!H2</f>
        <v/>
      </c>
      <c r="C2">
        <f>IF(RAW_ORDERS!I2="%",RAW_ORDERS!H2*RAW_ORDERS!J2/100,RAW_ORDERS!J2)</f>
        <v/>
      </c>
      <c r="D2">
        <f>IF(RAW_ORDERS!K2="%",RAW_ORDERS!H2*RAW_ORDERS!L2/100,RAW_ORDERS!L2)</f>
        <v/>
      </c>
      <c r="E2">
        <f>IF(RAW_ORDERS!M2="%",RAW_ORDERS!H2*RAW_ORDERS!N2/100,RAW_ORDERS!N2)</f>
        <v/>
      </c>
      <c r="F2">
        <f>D2-C2</f>
        <v/>
      </c>
      <c r="G2">
        <f>C2-E2</f>
        <v/>
      </c>
      <c r="H2">
        <f>F2+G2</f>
        <v/>
      </c>
    </row>
    <row r="3">
      <c r="A3">
        <f>RAW_ORDERS!A3</f>
        <v/>
      </c>
      <c r="B3">
        <f>RAW_ORDERS!H3</f>
        <v/>
      </c>
      <c r="C3">
        <f>IF(RAW_ORDERS!I3="%",RAW_ORDERS!H3*RAW_ORDERS!J3/100,RAW_ORDERS!J3)</f>
        <v/>
      </c>
      <c r="D3">
        <f>IF(RAW_ORDERS!K3="%",RAW_ORDERS!H3*RAW_ORDERS!L3/100,RAW_ORDERS!L3)</f>
        <v/>
      </c>
      <c r="E3">
        <f>IF(RAW_ORDERS!M3="%",RAW_ORDERS!H3*RAW_ORDERS!N3/100,RAW_ORDERS!N3)</f>
        <v/>
      </c>
      <c r="F3">
        <f>D3-C3</f>
        <v/>
      </c>
      <c r="G3">
        <f>C3-E3</f>
        <v/>
      </c>
      <c r="H3">
        <f>F3+G3</f>
        <v/>
      </c>
    </row>
    <row r="4">
      <c r="A4">
        <f>RAW_ORDERS!A4</f>
        <v/>
      </c>
      <c r="B4">
        <f>RAW_ORDERS!H4</f>
        <v/>
      </c>
      <c r="C4">
        <f>IF(RAW_ORDERS!I4="%",RAW_ORDERS!H4*RAW_ORDERS!J4/100,RAW_ORDERS!J4)</f>
        <v/>
      </c>
      <c r="D4">
        <f>IF(RAW_ORDERS!K4="%",RAW_ORDERS!H4*RAW_ORDERS!L4/100,RAW_ORDERS!L4)</f>
        <v/>
      </c>
      <c r="E4">
        <f>IF(RAW_ORDERS!M4="%",RAW_ORDERS!H4*RAW_ORDERS!N4/100,RAW_ORDERS!N4)</f>
        <v/>
      </c>
      <c r="F4">
        <f>D4-C4</f>
        <v/>
      </c>
      <c r="G4">
        <f>C4-E4</f>
        <v/>
      </c>
      <c r="H4">
        <f>F4+G4</f>
        <v/>
      </c>
    </row>
    <row r="5">
      <c r="A5">
        <f>RAW_ORDERS!A5</f>
        <v/>
      </c>
      <c r="B5">
        <f>RAW_ORDERS!H5</f>
        <v/>
      </c>
      <c r="C5">
        <f>IF(RAW_ORDERS!I5="%",RAW_ORDERS!H5*RAW_ORDERS!J5/100,RAW_ORDERS!J5)</f>
        <v/>
      </c>
      <c r="D5">
        <f>IF(RAW_ORDERS!K5="%",RAW_ORDERS!H5*RAW_ORDERS!L5/100,RAW_ORDERS!L5)</f>
        <v/>
      </c>
      <c r="E5">
        <f>IF(RAW_ORDERS!M5="%",RAW_ORDERS!H5*RAW_ORDERS!N5/100,RAW_ORDERS!N5)</f>
        <v/>
      </c>
      <c r="F5">
        <f>D5-C5</f>
        <v/>
      </c>
      <c r="G5">
        <f>C5-E5</f>
        <v/>
      </c>
      <c r="H5">
        <f>F5+G5</f>
        <v/>
      </c>
    </row>
    <row r="6">
      <c r="A6">
        <f>RAW_ORDERS!A6</f>
        <v/>
      </c>
      <c r="B6">
        <f>RAW_ORDERS!H6</f>
        <v/>
      </c>
      <c r="C6">
        <f>IF(RAW_ORDERS!I6="%",RAW_ORDERS!H6*RAW_ORDERS!J6/100,RAW_ORDERS!J6)</f>
        <v/>
      </c>
      <c r="D6">
        <f>IF(RAW_ORDERS!K6="%",RAW_ORDERS!H6*RAW_ORDERS!L6/100,RAW_ORDERS!L6)</f>
        <v/>
      </c>
      <c r="E6">
        <f>IF(RAW_ORDERS!M6="%",RAW_ORDERS!H6*RAW_ORDERS!N6/100,RAW_ORDERS!N6)</f>
        <v/>
      </c>
      <c r="F6">
        <f>D6-C6</f>
        <v/>
      </c>
      <c r="G6">
        <f>C6-E6</f>
        <v/>
      </c>
      <c r="H6">
        <f>F6+G6</f>
        <v/>
      </c>
    </row>
    <row r="7">
      <c r="A7">
        <f>RAW_ORDERS!A7</f>
        <v/>
      </c>
      <c r="B7">
        <f>RAW_ORDERS!H7</f>
        <v/>
      </c>
      <c r="C7">
        <f>IF(RAW_ORDERS!I7="%",RAW_ORDERS!H7*RAW_ORDERS!J7/100,RAW_ORDERS!J7)</f>
        <v/>
      </c>
      <c r="D7">
        <f>IF(RAW_ORDERS!K7="%",RAW_ORDERS!H7*RAW_ORDERS!L7/100,RAW_ORDERS!L7)</f>
        <v/>
      </c>
      <c r="E7">
        <f>IF(RAW_ORDERS!M7="%",RAW_ORDERS!H7*RAW_ORDERS!N7/100,RAW_ORDERS!N7)</f>
        <v/>
      </c>
      <c r="F7">
        <f>D7-C7</f>
        <v/>
      </c>
      <c r="G7">
        <f>C7-E7</f>
        <v/>
      </c>
      <c r="H7">
        <f>F7+G7</f>
        <v/>
      </c>
    </row>
    <row r="8">
      <c r="A8">
        <f>RAW_ORDERS!A8</f>
        <v/>
      </c>
      <c r="B8">
        <f>RAW_ORDERS!H8</f>
        <v/>
      </c>
      <c r="C8">
        <f>IF(RAW_ORDERS!I8="%",RAW_ORDERS!H8*RAW_ORDERS!J8/100,RAW_ORDERS!J8)</f>
        <v/>
      </c>
      <c r="D8">
        <f>IF(RAW_ORDERS!K8="%",RAW_ORDERS!H8*RAW_ORDERS!L8/100,RAW_ORDERS!L8)</f>
        <v/>
      </c>
      <c r="E8">
        <f>IF(RAW_ORDERS!M8="%",RAW_ORDERS!H8*RAW_ORDERS!N8/100,RAW_ORDERS!N8)</f>
        <v/>
      </c>
      <c r="F8">
        <f>D8-C8</f>
        <v/>
      </c>
      <c r="G8">
        <f>C8-E8</f>
        <v/>
      </c>
      <c r="H8">
        <f>F8+G8</f>
        <v/>
      </c>
    </row>
    <row r="9">
      <c r="A9">
        <f>RAW_ORDERS!A9</f>
        <v/>
      </c>
      <c r="B9">
        <f>RAW_ORDERS!H9</f>
        <v/>
      </c>
      <c r="C9">
        <f>IF(RAW_ORDERS!I9="%",RAW_ORDERS!H9*RAW_ORDERS!J9/100,RAW_ORDERS!J9)</f>
        <v/>
      </c>
      <c r="D9">
        <f>IF(RAW_ORDERS!K9="%",RAW_ORDERS!H9*RAW_ORDERS!L9/100,RAW_ORDERS!L9)</f>
        <v/>
      </c>
      <c r="E9">
        <f>IF(RAW_ORDERS!M9="%",RAW_ORDERS!H9*RAW_ORDERS!N9/100,RAW_ORDERS!N9)</f>
        <v/>
      </c>
      <c r="F9">
        <f>D9-C9</f>
        <v/>
      </c>
      <c r="G9">
        <f>C9-E9</f>
        <v/>
      </c>
      <c r="H9">
        <f>F9+G9</f>
        <v/>
      </c>
    </row>
    <row r="10">
      <c r="A10">
        <f>RAW_ORDERS!A10</f>
        <v/>
      </c>
      <c r="B10">
        <f>RAW_ORDERS!H10</f>
        <v/>
      </c>
      <c r="C10">
        <f>IF(RAW_ORDERS!I10="%",RAW_ORDERS!H10*RAW_ORDERS!J10/100,RAW_ORDERS!J10)</f>
        <v/>
      </c>
      <c r="D10">
        <f>IF(RAW_ORDERS!K10="%",RAW_ORDERS!H10*RAW_ORDERS!L10/100,RAW_ORDERS!L10)</f>
        <v/>
      </c>
      <c r="E10">
        <f>IF(RAW_ORDERS!M10="%",RAW_ORDERS!H10*RAW_ORDERS!N10/100,RAW_ORDERS!N10)</f>
        <v/>
      </c>
      <c r="F10">
        <f>D10-C10</f>
        <v/>
      </c>
      <c r="G10">
        <f>C10-E10</f>
        <v/>
      </c>
      <c r="H10">
        <f>F10+G10</f>
        <v/>
      </c>
    </row>
    <row r="11">
      <c r="A11">
        <f>RAW_ORDERS!A11</f>
        <v/>
      </c>
      <c r="B11">
        <f>RAW_ORDERS!H11</f>
        <v/>
      </c>
      <c r="C11">
        <f>IF(RAW_ORDERS!I11="%",RAW_ORDERS!H11*RAW_ORDERS!J11/100,RAW_ORDERS!J11)</f>
        <v/>
      </c>
      <c r="D11">
        <f>IF(RAW_ORDERS!K11="%",RAW_ORDERS!H11*RAW_ORDERS!L11/100,RAW_ORDERS!L11)</f>
        <v/>
      </c>
      <c r="E11">
        <f>IF(RAW_ORDERS!M11="%",RAW_ORDERS!H11*RAW_ORDERS!N11/100,RAW_ORDERS!N11)</f>
        <v/>
      </c>
      <c r="F11">
        <f>D11-C11</f>
        <v/>
      </c>
      <c r="G11">
        <f>C11-E11</f>
        <v/>
      </c>
      <c r="H11">
        <f>F11+G11</f>
        <v/>
      </c>
    </row>
    <row r="12">
      <c r="A12">
        <f>RAW_ORDERS!A12</f>
        <v/>
      </c>
      <c r="B12">
        <f>RAW_ORDERS!H12</f>
        <v/>
      </c>
      <c r="C12">
        <f>IF(RAW_ORDERS!I12="%",RAW_ORDERS!H12*RAW_ORDERS!J12/100,RAW_ORDERS!J12)</f>
        <v/>
      </c>
      <c r="D12">
        <f>IF(RAW_ORDERS!K12="%",RAW_ORDERS!H12*RAW_ORDERS!L12/100,RAW_ORDERS!L12)</f>
        <v/>
      </c>
      <c r="E12">
        <f>IF(RAW_ORDERS!M12="%",RAW_ORDERS!H12*RAW_ORDERS!N12/100,RAW_ORDERS!N12)</f>
        <v/>
      </c>
      <c r="F12">
        <f>D12-C12</f>
        <v/>
      </c>
      <c r="G12">
        <f>C12-E12</f>
        <v/>
      </c>
      <c r="H12">
        <f>F12+G12</f>
        <v/>
      </c>
    </row>
    <row r="13">
      <c r="A13">
        <f>RAW_ORDERS!A13</f>
        <v/>
      </c>
      <c r="B13">
        <f>RAW_ORDERS!H13</f>
        <v/>
      </c>
      <c r="C13">
        <f>IF(RAW_ORDERS!I13="%",RAW_ORDERS!H13*RAW_ORDERS!J13/100,RAW_ORDERS!J13)</f>
        <v/>
      </c>
      <c r="D13">
        <f>IF(RAW_ORDERS!K13="%",RAW_ORDERS!H13*RAW_ORDERS!L13/100,RAW_ORDERS!L13)</f>
        <v/>
      </c>
      <c r="E13">
        <f>IF(RAW_ORDERS!M13="%",RAW_ORDERS!H13*RAW_ORDERS!N13/100,RAW_ORDERS!N13)</f>
        <v/>
      </c>
      <c r="F13">
        <f>D13-C13</f>
        <v/>
      </c>
      <c r="G13">
        <f>C13-E13</f>
        <v/>
      </c>
      <c r="H13">
        <f>F13+G13</f>
        <v/>
      </c>
    </row>
    <row r="14">
      <c r="A14">
        <f>RAW_ORDERS!A14</f>
        <v/>
      </c>
      <c r="B14">
        <f>RAW_ORDERS!H14</f>
        <v/>
      </c>
      <c r="C14">
        <f>IF(RAW_ORDERS!I14="%",RAW_ORDERS!H14*RAW_ORDERS!J14/100,RAW_ORDERS!J14)</f>
        <v/>
      </c>
      <c r="D14">
        <f>IF(RAW_ORDERS!K14="%",RAW_ORDERS!H14*RAW_ORDERS!L14/100,RAW_ORDERS!L14)</f>
        <v/>
      </c>
      <c r="E14">
        <f>IF(RAW_ORDERS!M14="%",RAW_ORDERS!H14*RAW_ORDERS!N14/100,RAW_ORDERS!N14)</f>
        <v/>
      </c>
      <c r="F14">
        <f>D14-C14</f>
        <v/>
      </c>
      <c r="G14">
        <f>C14-E14</f>
        <v/>
      </c>
      <c r="H14">
        <f>F14+G14</f>
        <v/>
      </c>
    </row>
    <row r="15">
      <c r="A15">
        <f>RAW_ORDERS!A15</f>
        <v/>
      </c>
      <c r="B15">
        <f>RAW_ORDERS!H15</f>
        <v/>
      </c>
      <c r="C15">
        <f>IF(RAW_ORDERS!I15="%",RAW_ORDERS!H15*RAW_ORDERS!J15/100,RAW_ORDERS!J15)</f>
        <v/>
      </c>
      <c r="D15">
        <f>IF(RAW_ORDERS!K15="%",RAW_ORDERS!H15*RAW_ORDERS!L15/100,RAW_ORDERS!L15)</f>
        <v/>
      </c>
      <c r="E15">
        <f>IF(RAW_ORDERS!M15="%",RAW_ORDERS!H15*RAW_ORDERS!N15/100,RAW_ORDERS!N15)</f>
        <v/>
      </c>
      <c r="F15">
        <f>D15-C15</f>
        <v/>
      </c>
      <c r="G15">
        <f>C15-E15</f>
        <v/>
      </c>
      <c r="H15">
        <f>F15+G15</f>
        <v/>
      </c>
    </row>
    <row r="16">
      <c r="A16">
        <f>RAW_ORDERS!A16</f>
        <v/>
      </c>
      <c r="B16">
        <f>RAW_ORDERS!H16</f>
        <v/>
      </c>
      <c r="C16">
        <f>IF(RAW_ORDERS!I16="%",RAW_ORDERS!H16*RAW_ORDERS!J16/100,RAW_ORDERS!J16)</f>
        <v/>
      </c>
      <c r="D16">
        <f>IF(RAW_ORDERS!K16="%",RAW_ORDERS!H16*RAW_ORDERS!L16/100,RAW_ORDERS!L16)</f>
        <v/>
      </c>
      <c r="E16">
        <f>IF(RAW_ORDERS!M16="%",RAW_ORDERS!H16*RAW_ORDERS!N16/100,RAW_ORDERS!N16)</f>
        <v/>
      </c>
      <c r="F16">
        <f>D16-C16</f>
        <v/>
      </c>
      <c r="G16">
        <f>C16-E16</f>
        <v/>
      </c>
      <c r="H16">
        <f>F16+G16</f>
        <v/>
      </c>
    </row>
    <row r="17">
      <c r="A17">
        <f>RAW_ORDERS!A17</f>
        <v/>
      </c>
      <c r="B17">
        <f>RAW_ORDERS!H17</f>
        <v/>
      </c>
      <c r="C17">
        <f>IF(RAW_ORDERS!I17="%",RAW_ORDERS!H17*RAW_ORDERS!J17/100,RAW_ORDERS!J17)</f>
        <v/>
      </c>
      <c r="D17">
        <f>IF(RAW_ORDERS!K17="%",RAW_ORDERS!H17*RAW_ORDERS!L17/100,RAW_ORDERS!L17)</f>
        <v/>
      </c>
      <c r="E17">
        <f>IF(RAW_ORDERS!M17="%",RAW_ORDERS!H17*RAW_ORDERS!N17/100,RAW_ORDERS!N17)</f>
        <v/>
      </c>
      <c r="F17">
        <f>D17-C17</f>
        <v/>
      </c>
      <c r="G17">
        <f>C17-E17</f>
        <v/>
      </c>
      <c r="H17">
        <f>F17+G17</f>
        <v/>
      </c>
    </row>
    <row r="18">
      <c r="A18">
        <f>RAW_ORDERS!A18</f>
        <v/>
      </c>
      <c r="B18">
        <f>RAW_ORDERS!H18</f>
        <v/>
      </c>
      <c r="C18">
        <f>IF(RAW_ORDERS!I18="%",RAW_ORDERS!H18*RAW_ORDERS!J18/100,RAW_ORDERS!J18)</f>
        <v/>
      </c>
      <c r="D18">
        <f>IF(RAW_ORDERS!K18="%",RAW_ORDERS!H18*RAW_ORDERS!L18/100,RAW_ORDERS!L18)</f>
        <v/>
      </c>
      <c r="E18">
        <f>IF(RAW_ORDERS!M18="%",RAW_ORDERS!H18*RAW_ORDERS!N18/100,RAW_ORDERS!N18)</f>
        <v/>
      </c>
      <c r="F18">
        <f>D18-C18</f>
        <v/>
      </c>
      <c r="G18">
        <f>C18-E18</f>
        <v/>
      </c>
      <c r="H18">
        <f>F18+G18</f>
        <v/>
      </c>
    </row>
    <row r="19">
      <c r="A19">
        <f>RAW_ORDERS!A19</f>
        <v/>
      </c>
      <c r="B19">
        <f>RAW_ORDERS!H19</f>
        <v/>
      </c>
      <c r="C19">
        <f>IF(RAW_ORDERS!I19="%",RAW_ORDERS!H19*RAW_ORDERS!J19/100,RAW_ORDERS!J19)</f>
        <v/>
      </c>
      <c r="D19">
        <f>IF(RAW_ORDERS!K19="%",RAW_ORDERS!H19*RAW_ORDERS!L19/100,RAW_ORDERS!L19)</f>
        <v/>
      </c>
      <c r="E19">
        <f>IF(RAW_ORDERS!M19="%",RAW_ORDERS!H19*RAW_ORDERS!N19/100,RAW_ORDERS!N19)</f>
        <v/>
      </c>
      <c r="F19">
        <f>D19-C19</f>
        <v/>
      </c>
      <c r="G19">
        <f>C19-E19</f>
        <v/>
      </c>
      <c r="H19">
        <f>F19+G19</f>
        <v/>
      </c>
    </row>
    <row r="20">
      <c r="A20">
        <f>RAW_ORDERS!A20</f>
        <v/>
      </c>
      <c r="B20">
        <f>RAW_ORDERS!H20</f>
        <v/>
      </c>
      <c r="C20">
        <f>IF(RAW_ORDERS!I20="%",RAW_ORDERS!H20*RAW_ORDERS!J20/100,RAW_ORDERS!J20)</f>
        <v/>
      </c>
      <c r="D20">
        <f>IF(RAW_ORDERS!K20="%",RAW_ORDERS!H20*RAW_ORDERS!L20/100,RAW_ORDERS!L20)</f>
        <v/>
      </c>
      <c r="E20">
        <f>IF(RAW_ORDERS!M20="%",RAW_ORDERS!H20*RAW_ORDERS!N20/100,RAW_ORDERS!N20)</f>
        <v/>
      </c>
      <c r="F20">
        <f>D20-C20</f>
        <v/>
      </c>
      <c r="G20">
        <f>C20-E20</f>
        <v/>
      </c>
      <c r="H20">
        <f>F20+G20</f>
        <v/>
      </c>
    </row>
    <row r="21">
      <c r="A21">
        <f>RAW_ORDERS!A21</f>
        <v/>
      </c>
      <c r="B21">
        <f>RAW_ORDERS!H21</f>
        <v/>
      </c>
      <c r="C21">
        <f>IF(RAW_ORDERS!I21="%",RAW_ORDERS!H21*RAW_ORDERS!J21/100,RAW_ORDERS!J21)</f>
        <v/>
      </c>
      <c r="D21">
        <f>IF(RAW_ORDERS!K21="%",RAW_ORDERS!H21*RAW_ORDERS!L21/100,RAW_ORDERS!L21)</f>
        <v/>
      </c>
      <c r="E21">
        <f>IF(RAW_ORDERS!M21="%",RAW_ORDERS!H21*RAW_ORDERS!N21/100,RAW_ORDERS!N21)</f>
        <v/>
      </c>
      <c r="F21">
        <f>D21-C21</f>
        <v/>
      </c>
      <c r="G21">
        <f>C21-E21</f>
        <v/>
      </c>
      <c r="H21">
        <f>F21+G21</f>
        <v/>
      </c>
    </row>
    <row r="22">
      <c r="A22">
        <f>RAW_ORDERS!A22</f>
        <v/>
      </c>
      <c r="B22">
        <f>RAW_ORDERS!H22</f>
        <v/>
      </c>
      <c r="C22">
        <f>IF(RAW_ORDERS!I22="%",RAW_ORDERS!H22*RAW_ORDERS!J22/100,RAW_ORDERS!J22)</f>
        <v/>
      </c>
      <c r="D22">
        <f>IF(RAW_ORDERS!K22="%",RAW_ORDERS!H22*RAW_ORDERS!L22/100,RAW_ORDERS!L22)</f>
        <v/>
      </c>
      <c r="E22">
        <f>IF(RAW_ORDERS!M22="%",RAW_ORDERS!H22*RAW_ORDERS!N22/100,RAW_ORDERS!N22)</f>
        <v/>
      </c>
      <c r="F22">
        <f>D22-C22</f>
        <v/>
      </c>
      <c r="G22">
        <f>C22-E22</f>
        <v/>
      </c>
      <c r="H22">
        <f>F22+G22</f>
        <v/>
      </c>
    </row>
    <row r="23">
      <c r="A23">
        <f>RAW_ORDERS!A23</f>
        <v/>
      </c>
      <c r="B23">
        <f>RAW_ORDERS!H23</f>
        <v/>
      </c>
      <c r="C23">
        <f>IF(RAW_ORDERS!I23="%",RAW_ORDERS!H23*RAW_ORDERS!J23/100,RAW_ORDERS!J23)</f>
        <v/>
      </c>
      <c r="D23">
        <f>IF(RAW_ORDERS!K23="%",RAW_ORDERS!H23*RAW_ORDERS!L23/100,RAW_ORDERS!L23)</f>
        <v/>
      </c>
      <c r="E23">
        <f>IF(RAW_ORDERS!M23="%",RAW_ORDERS!H23*RAW_ORDERS!N23/100,RAW_ORDERS!N23)</f>
        <v/>
      </c>
      <c r="F23">
        <f>D23-C23</f>
        <v/>
      </c>
      <c r="G23">
        <f>C23-E23</f>
        <v/>
      </c>
      <c r="H23">
        <f>F23+G23</f>
        <v/>
      </c>
    </row>
    <row r="24">
      <c r="A24">
        <f>RAW_ORDERS!A24</f>
        <v/>
      </c>
      <c r="B24">
        <f>RAW_ORDERS!H24</f>
        <v/>
      </c>
      <c r="C24">
        <f>IF(RAW_ORDERS!I24="%",RAW_ORDERS!H24*RAW_ORDERS!J24/100,RAW_ORDERS!J24)</f>
        <v/>
      </c>
      <c r="D24">
        <f>IF(RAW_ORDERS!K24="%",RAW_ORDERS!H24*RAW_ORDERS!L24/100,RAW_ORDERS!L24)</f>
        <v/>
      </c>
      <c r="E24">
        <f>IF(RAW_ORDERS!M24="%",RAW_ORDERS!H24*RAW_ORDERS!N24/100,RAW_ORDERS!N24)</f>
        <v/>
      </c>
      <c r="F24">
        <f>D24-C24</f>
        <v/>
      </c>
      <c r="G24">
        <f>C24-E24</f>
        <v/>
      </c>
      <c r="H24">
        <f>F24+G24</f>
        <v/>
      </c>
    </row>
    <row r="25">
      <c r="A25">
        <f>RAW_ORDERS!A25</f>
        <v/>
      </c>
      <c r="B25">
        <f>RAW_ORDERS!H25</f>
        <v/>
      </c>
      <c r="C25">
        <f>IF(RAW_ORDERS!I25="%",RAW_ORDERS!H25*RAW_ORDERS!J25/100,RAW_ORDERS!J25)</f>
        <v/>
      </c>
      <c r="D25">
        <f>IF(RAW_ORDERS!K25="%",RAW_ORDERS!H25*RAW_ORDERS!L25/100,RAW_ORDERS!L25)</f>
        <v/>
      </c>
      <c r="E25">
        <f>IF(RAW_ORDERS!M25="%",RAW_ORDERS!H25*RAW_ORDERS!N25/100,RAW_ORDERS!N25)</f>
        <v/>
      </c>
      <c r="F25">
        <f>D25-C25</f>
        <v/>
      </c>
      <c r="G25">
        <f>C25-E25</f>
        <v/>
      </c>
      <c r="H25">
        <f>F25+G25</f>
        <v/>
      </c>
    </row>
    <row r="26">
      <c r="A26">
        <f>RAW_ORDERS!A26</f>
        <v/>
      </c>
      <c r="B26">
        <f>RAW_ORDERS!H26</f>
        <v/>
      </c>
      <c r="C26">
        <f>IF(RAW_ORDERS!I26="%",RAW_ORDERS!H26*RAW_ORDERS!J26/100,RAW_ORDERS!J26)</f>
        <v/>
      </c>
      <c r="D26">
        <f>IF(RAW_ORDERS!K26="%",RAW_ORDERS!H26*RAW_ORDERS!L26/100,RAW_ORDERS!L26)</f>
        <v/>
      </c>
      <c r="E26">
        <f>IF(RAW_ORDERS!M26="%",RAW_ORDERS!H26*RAW_ORDERS!N26/100,RAW_ORDERS!N26)</f>
        <v/>
      </c>
      <c r="F26">
        <f>D26-C26</f>
        <v/>
      </c>
      <c r="G26">
        <f>C26-E26</f>
        <v/>
      </c>
      <c r="H26">
        <f>F26+G26</f>
        <v/>
      </c>
    </row>
    <row r="27">
      <c r="A27">
        <f>RAW_ORDERS!A27</f>
        <v/>
      </c>
      <c r="B27">
        <f>RAW_ORDERS!H27</f>
        <v/>
      </c>
      <c r="C27">
        <f>IF(RAW_ORDERS!I27="%",RAW_ORDERS!H27*RAW_ORDERS!J27/100,RAW_ORDERS!J27)</f>
        <v/>
      </c>
      <c r="D27">
        <f>IF(RAW_ORDERS!K27="%",RAW_ORDERS!H27*RAW_ORDERS!L27/100,RAW_ORDERS!L27)</f>
        <v/>
      </c>
      <c r="E27">
        <f>IF(RAW_ORDERS!M27="%",RAW_ORDERS!H27*RAW_ORDERS!N27/100,RAW_ORDERS!N27)</f>
        <v/>
      </c>
      <c r="F27">
        <f>D27-C27</f>
        <v/>
      </c>
      <c r="G27">
        <f>C27-E27</f>
        <v/>
      </c>
      <c r="H27">
        <f>F27+G27</f>
        <v/>
      </c>
    </row>
    <row r="28">
      <c r="A28">
        <f>RAW_ORDERS!A28</f>
        <v/>
      </c>
      <c r="B28">
        <f>RAW_ORDERS!H28</f>
        <v/>
      </c>
      <c r="C28">
        <f>IF(RAW_ORDERS!I28="%",RAW_ORDERS!H28*RAW_ORDERS!J28/100,RAW_ORDERS!J28)</f>
        <v/>
      </c>
      <c r="D28">
        <f>IF(RAW_ORDERS!K28="%",RAW_ORDERS!H28*RAW_ORDERS!L28/100,RAW_ORDERS!L28)</f>
        <v/>
      </c>
      <c r="E28">
        <f>IF(RAW_ORDERS!M28="%",RAW_ORDERS!H28*RAW_ORDERS!N28/100,RAW_ORDERS!N28)</f>
        <v/>
      </c>
      <c r="F28">
        <f>D28-C28</f>
        <v/>
      </c>
      <c r="G28">
        <f>C28-E28</f>
        <v/>
      </c>
      <c r="H28">
        <f>F28+G28</f>
        <v/>
      </c>
    </row>
    <row r="29">
      <c r="A29">
        <f>RAW_ORDERS!A29</f>
        <v/>
      </c>
      <c r="B29">
        <f>RAW_ORDERS!H29</f>
        <v/>
      </c>
      <c r="C29">
        <f>IF(RAW_ORDERS!I29="%",RAW_ORDERS!H29*RAW_ORDERS!J29/100,RAW_ORDERS!J29)</f>
        <v/>
      </c>
      <c r="D29">
        <f>IF(RAW_ORDERS!K29="%",RAW_ORDERS!H29*RAW_ORDERS!L29/100,RAW_ORDERS!L29)</f>
        <v/>
      </c>
      <c r="E29">
        <f>IF(RAW_ORDERS!M29="%",RAW_ORDERS!H29*RAW_ORDERS!N29/100,RAW_ORDERS!N29)</f>
        <v/>
      </c>
      <c r="F29">
        <f>D29-C29</f>
        <v/>
      </c>
      <c r="G29">
        <f>C29-E29</f>
        <v/>
      </c>
      <c r="H29">
        <f>F29+G29</f>
        <v/>
      </c>
    </row>
    <row r="30">
      <c r="A30">
        <f>RAW_ORDERS!A30</f>
        <v/>
      </c>
      <c r="B30">
        <f>RAW_ORDERS!H30</f>
        <v/>
      </c>
      <c r="C30">
        <f>IF(RAW_ORDERS!I30="%",RAW_ORDERS!H30*RAW_ORDERS!J30/100,RAW_ORDERS!J30)</f>
        <v/>
      </c>
      <c r="D30">
        <f>IF(RAW_ORDERS!K30="%",RAW_ORDERS!H30*RAW_ORDERS!L30/100,RAW_ORDERS!L30)</f>
        <v/>
      </c>
      <c r="E30">
        <f>IF(RAW_ORDERS!M30="%",RAW_ORDERS!H30*RAW_ORDERS!N30/100,RAW_ORDERS!N30)</f>
        <v/>
      </c>
      <c r="F30">
        <f>D30-C30</f>
        <v/>
      </c>
      <c r="G30">
        <f>C30-E30</f>
        <v/>
      </c>
      <c r="H30">
        <f>F30+G30</f>
        <v/>
      </c>
    </row>
    <row r="31">
      <c r="A31">
        <f>RAW_ORDERS!A31</f>
        <v/>
      </c>
      <c r="B31">
        <f>RAW_ORDERS!H31</f>
        <v/>
      </c>
      <c r="C31">
        <f>IF(RAW_ORDERS!I31="%",RAW_ORDERS!H31*RAW_ORDERS!J31/100,RAW_ORDERS!J31)</f>
        <v/>
      </c>
      <c r="D31">
        <f>IF(RAW_ORDERS!K31="%",RAW_ORDERS!H31*RAW_ORDERS!L31/100,RAW_ORDERS!L31)</f>
        <v/>
      </c>
      <c r="E31">
        <f>IF(RAW_ORDERS!M31="%",RAW_ORDERS!H31*RAW_ORDERS!N31/100,RAW_ORDERS!N31)</f>
        <v/>
      </c>
      <c r="F31">
        <f>D31-C31</f>
        <v/>
      </c>
      <c r="G31">
        <f>C31-E31</f>
        <v/>
      </c>
      <c r="H31">
        <f>F31+G31</f>
        <v/>
      </c>
    </row>
    <row r="32">
      <c r="A32">
        <f>RAW_ORDERS!A32</f>
        <v/>
      </c>
      <c r="B32">
        <f>RAW_ORDERS!H32</f>
        <v/>
      </c>
      <c r="C32">
        <f>IF(RAW_ORDERS!I32="%",RAW_ORDERS!H32*RAW_ORDERS!J32/100,RAW_ORDERS!J32)</f>
        <v/>
      </c>
      <c r="D32">
        <f>IF(RAW_ORDERS!K32="%",RAW_ORDERS!H32*RAW_ORDERS!L32/100,RAW_ORDERS!L32)</f>
        <v/>
      </c>
      <c r="E32">
        <f>IF(RAW_ORDERS!M32="%",RAW_ORDERS!H32*RAW_ORDERS!N32/100,RAW_ORDERS!N32)</f>
        <v/>
      </c>
      <c r="F32">
        <f>D32-C32</f>
        <v/>
      </c>
      <c r="G32">
        <f>C32-E32</f>
        <v/>
      </c>
      <c r="H32">
        <f>F32+G32</f>
        <v/>
      </c>
    </row>
    <row r="33">
      <c r="A33">
        <f>RAW_ORDERS!A33</f>
        <v/>
      </c>
      <c r="B33">
        <f>RAW_ORDERS!H33</f>
        <v/>
      </c>
      <c r="C33">
        <f>IF(RAW_ORDERS!I33="%",RAW_ORDERS!H33*RAW_ORDERS!J33/100,RAW_ORDERS!J33)</f>
        <v/>
      </c>
      <c r="D33">
        <f>IF(RAW_ORDERS!K33="%",RAW_ORDERS!H33*RAW_ORDERS!L33/100,RAW_ORDERS!L33)</f>
        <v/>
      </c>
      <c r="E33">
        <f>IF(RAW_ORDERS!M33="%",RAW_ORDERS!H33*RAW_ORDERS!N33/100,RAW_ORDERS!N33)</f>
        <v/>
      </c>
      <c r="F33">
        <f>D33-C33</f>
        <v/>
      </c>
      <c r="G33">
        <f>C33-E33</f>
        <v/>
      </c>
      <c r="H33">
        <f>F33+G33</f>
        <v/>
      </c>
    </row>
    <row r="34">
      <c r="A34">
        <f>RAW_ORDERS!A34</f>
        <v/>
      </c>
      <c r="B34">
        <f>RAW_ORDERS!H34</f>
        <v/>
      </c>
      <c r="C34">
        <f>IF(RAW_ORDERS!I34="%",RAW_ORDERS!H34*RAW_ORDERS!J34/100,RAW_ORDERS!J34)</f>
        <v/>
      </c>
      <c r="D34">
        <f>IF(RAW_ORDERS!K34="%",RAW_ORDERS!H34*RAW_ORDERS!L34/100,RAW_ORDERS!L34)</f>
        <v/>
      </c>
      <c r="E34">
        <f>IF(RAW_ORDERS!M34="%",RAW_ORDERS!H34*RAW_ORDERS!N34/100,RAW_ORDERS!N34)</f>
        <v/>
      </c>
      <c r="F34">
        <f>D34-C34</f>
        <v/>
      </c>
      <c r="G34">
        <f>C34-E34</f>
        <v/>
      </c>
      <c r="H34">
        <f>F34+G34</f>
        <v/>
      </c>
    </row>
    <row r="35">
      <c r="A35">
        <f>RAW_ORDERS!A35</f>
        <v/>
      </c>
      <c r="B35">
        <f>RAW_ORDERS!H35</f>
        <v/>
      </c>
      <c r="C35">
        <f>IF(RAW_ORDERS!I35="%",RAW_ORDERS!H35*RAW_ORDERS!J35/100,RAW_ORDERS!J35)</f>
        <v/>
      </c>
      <c r="D35">
        <f>IF(RAW_ORDERS!K35="%",RAW_ORDERS!H35*RAW_ORDERS!L35/100,RAW_ORDERS!L35)</f>
        <v/>
      </c>
      <c r="E35">
        <f>IF(RAW_ORDERS!M35="%",RAW_ORDERS!H35*RAW_ORDERS!N35/100,RAW_ORDERS!N35)</f>
        <v/>
      </c>
      <c r="F35">
        <f>D35-C35</f>
        <v/>
      </c>
      <c r="G35">
        <f>C35-E35</f>
        <v/>
      </c>
      <c r="H35">
        <f>F35+G35</f>
        <v/>
      </c>
    </row>
    <row r="36">
      <c r="A36">
        <f>RAW_ORDERS!A36</f>
        <v/>
      </c>
      <c r="B36">
        <f>RAW_ORDERS!H36</f>
        <v/>
      </c>
      <c r="C36">
        <f>IF(RAW_ORDERS!I36="%",RAW_ORDERS!H36*RAW_ORDERS!J36/100,RAW_ORDERS!J36)</f>
        <v/>
      </c>
      <c r="D36">
        <f>IF(RAW_ORDERS!K36="%",RAW_ORDERS!H36*RAW_ORDERS!L36/100,RAW_ORDERS!L36)</f>
        <v/>
      </c>
      <c r="E36">
        <f>IF(RAW_ORDERS!M36="%",RAW_ORDERS!H36*RAW_ORDERS!N36/100,RAW_ORDERS!N36)</f>
        <v/>
      </c>
      <c r="F36">
        <f>D36-C36</f>
        <v/>
      </c>
      <c r="G36">
        <f>C36-E36</f>
        <v/>
      </c>
      <c r="H36">
        <f>F36+G36</f>
        <v/>
      </c>
    </row>
    <row r="37">
      <c r="A37">
        <f>RAW_ORDERS!A37</f>
        <v/>
      </c>
      <c r="B37">
        <f>RAW_ORDERS!H37</f>
        <v/>
      </c>
      <c r="C37">
        <f>IF(RAW_ORDERS!I37="%",RAW_ORDERS!H37*RAW_ORDERS!J37/100,RAW_ORDERS!J37)</f>
        <v/>
      </c>
      <c r="D37">
        <f>IF(RAW_ORDERS!K37="%",RAW_ORDERS!H37*RAW_ORDERS!L37/100,RAW_ORDERS!L37)</f>
        <v/>
      </c>
      <c r="E37">
        <f>IF(RAW_ORDERS!M37="%",RAW_ORDERS!H37*RAW_ORDERS!N37/100,RAW_ORDERS!N37)</f>
        <v/>
      </c>
      <c r="F37">
        <f>D37-C37</f>
        <v/>
      </c>
      <c r="G37">
        <f>C37-E37</f>
        <v/>
      </c>
      <c r="H37">
        <f>F37+G37</f>
        <v/>
      </c>
    </row>
    <row r="38">
      <c r="A38">
        <f>RAW_ORDERS!A38</f>
        <v/>
      </c>
      <c r="B38">
        <f>RAW_ORDERS!H38</f>
        <v/>
      </c>
      <c r="C38">
        <f>IF(RAW_ORDERS!I38="%",RAW_ORDERS!H38*RAW_ORDERS!J38/100,RAW_ORDERS!J38)</f>
        <v/>
      </c>
      <c r="D38">
        <f>IF(RAW_ORDERS!K38="%",RAW_ORDERS!H38*RAW_ORDERS!L38/100,RAW_ORDERS!L38)</f>
        <v/>
      </c>
      <c r="E38">
        <f>IF(RAW_ORDERS!M38="%",RAW_ORDERS!H38*RAW_ORDERS!N38/100,RAW_ORDERS!N38)</f>
        <v/>
      </c>
      <c r="F38">
        <f>D38-C38</f>
        <v/>
      </c>
      <c r="G38">
        <f>C38-E38</f>
        <v/>
      </c>
      <c r="H38">
        <f>F38+G38</f>
        <v/>
      </c>
    </row>
    <row r="39">
      <c r="A39">
        <f>RAW_ORDERS!A39</f>
        <v/>
      </c>
      <c r="B39">
        <f>RAW_ORDERS!H39</f>
        <v/>
      </c>
      <c r="C39">
        <f>IF(RAW_ORDERS!I39="%",RAW_ORDERS!H39*RAW_ORDERS!J39/100,RAW_ORDERS!J39)</f>
        <v/>
      </c>
      <c r="D39">
        <f>IF(RAW_ORDERS!K39="%",RAW_ORDERS!H39*RAW_ORDERS!L39/100,RAW_ORDERS!L39)</f>
        <v/>
      </c>
      <c r="E39">
        <f>IF(RAW_ORDERS!M39="%",RAW_ORDERS!H39*RAW_ORDERS!N39/100,RAW_ORDERS!N39)</f>
        <v/>
      </c>
      <c r="F39">
        <f>D39-C39</f>
        <v/>
      </c>
      <c r="G39">
        <f>C39-E39</f>
        <v/>
      </c>
      <c r="H39">
        <f>F39+G39</f>
        <v/>
      </c>
    </row>
    <row r="40">
      <c r="A40">
        <f>RAW_ORDERS!A40</f>
        <v/>
      </c>
      <c r="B40">
        <f>RAW_ORDERS!H40</f>
        <v/>
      </c>
      <c r="C40">
        <f>IF(RAW_ORDERS!I40="%",RAW_ORDERS!H40*RAW_ORDERS!J40/100,RAW_ORDERS!J40)</f>
        <v/>
      </c>
      <c r="D40">
        <f>IF(RAW_ORDERS!K40="%",RAW_ORDERS!H40*RAW_ORDERS!L40/100,RAW_ORDERS!L40)</f>
        <v/>
      </c>
      <c r="E40">
        <f>IF(RAW_ORDERS!M40="%",RAW_ORDERS!H40*RAW_ORDERS!N40/100,RAW_ORDERS!N40)</f>
        <v/>
      </c>
      <c r="F40">
        <f>D40-C40</f>
        <v/>
      </c>
      <c r="G40">
        <f>C40-E40</f>
        <v/>
      </c>
      <c r="H40">
        <f>F40+G40</f>
        <v/>
      </c>
    </row>
    <row r="41">
      <c r="A41">
        <f>RAW_ORDERS!A41</f>
        <v/>
      </c>
      <c r="B41">
        <f>RAW_ORDERS!H41</f>
        <v/>
      </c>
      <c r="C41">
        <f>IF(RAW_ORDERS!I41="%",RAW_ORDERS!H41*RAW_ORDERS!J41/100,RAW_ORDERS!J41)</f>
        <v/>
      </c>
      <c r="D41">
        <f>IF(RAW_ORDERS!K41="%",RAW_ORDERS!H41*RAW_ORDERS!L41/100,RAW_ORDERS!L41)</f>
        <v/>
      </c>
      <c r="E41">
        <f>IF(RAW_ORDERS!M41="%",RAW_ORDERS!H41*RAW_ORDERS!N41/100,RAW_ORDERS!N41)</f>
        <v/>
      </c>
      <c r="F41">
        <f>D41-C41</f>
        <v/>
      </c>
      <c r="G41">
        <f>C41-E41</f>
        <v/>
      </c>
      <c r="H41">
        <f>F41+G41</f>
        <v/>
      </c>
    </row>
    <row r="42">
      <c r="A42">
        <f>RAW_ORDERS!A42</f>
        <v/>
      </c>
      <c r="B42">
        <f>RAW_ORDERS!H42</f>
        <v/>
      </c>
      <c r="C42">
        <f>IF(RAW_ORDERS!I42="%",RAW_ORDERS!H42*RAW_ORDERS!J42/100,RAW_ORDERS!J42)</f>
        <v/>
      </c>
      <c r="D42">
        <f>IF(RAW_ORDERS!K42="%",RAW_ORDERS!H42*RAW_ORDERS!L42/100,RAW_ORDERS!L42)</f>
        <v/>
      </c>
      <c r="E42">
        <f>IF(RAW_ORDERS!M42="%",RAW_ORDERS!H42*RAW_ORDERS!N42/100,RAW_ORDERS!N42)</f>
        <v/>
      </c>
      <c r="F42">
        <f>D42-C42</f>
        <v/>
      </c>
      <c r="G42">
        <f>C42-E42</f>
        <v/>
      </c>
      <c r="H42">
        <f>F42+G42</f>
        <v/>
      </c>
    </row>
    <row r="43">
      <c r="A43">
        <f>RAW_ORDERS!A43</f>
        <v/>
      </c>
      <c r="B43">
        <f>RAW_ORDERS!H43</f>
        <v/>
      </c>
      <c r="C43">
        <f>IF(RAW_ORDERS!I43="%",RAW_ORDERS!H43*RAW_ORDERS!J43/100,RAW_ORDERS!J43)</f>
        <v/>
      </c>
      <c r="D43">
        <f>IF(RAW_ORDERS!K43="%",RAW_ORDERS!H43*RAW_ORDERS!L43/100,RAW_ORDERS!L43)</f>
        <v/>
      </c>
      <c r="E43">
        <f>IF(RAW_ORDERS!M43="%",RAW_ORDERS!H43*RAW_ORDERS!N43/100,RAW_ORDERS!N43)</f>
        <v/>
      </c>
      <c r="F43">
        <f>D43-C43</f>
        <v/>
      </c>
      <c r="G43">
        <f>C43-E43</f>
        <v/>
      </c>
      <c r="H43">
        <f>F43+G43</f>
        <v/>
      </c>
    </row>
    <row r="44">
      <c r="A44">
        <f>RAW_ORDERS!A44</f>
        <v/>
      </c>
      <c r="B44">
        <f>RAW_ORDERS!H44</f>
        <v/>
      </c>
      <c r="C44">
        <f>IF(RAW_ORDERS!I44="%",RAW_ORDERS!H44*RAW_ORDERS!J44/100,RAW_ORDERS!J44)</f>
        <v/>
      </c>
      <c r="D44">
        <f>IF(RAW_ORDERS!K44="%",RAW_ORDERS!H44*RAW_ORDERS!L44/100,RAW_ORDERS!L44)</f>
        <v/>
      </c>
      <c r="E44">
        <f>IF(RAW_ORDERS!M44="%",RAW_ORDERS!H44*RAW_ORDERS!N44/100,RAW_ORDERS!N44)</f>
        <v/>
      </c>
      <c r="F44">
        <f>D44-C44</f>
        <v/>
      </c>
      <c r="G44">
        <f>C44-E44</f>
        <v/>
      </c>
      <c r="H44">
        <f>F44+G44</f>
        <v/>
      </c>
    </row>
    <row r="45">
      <c r="A45">
        <f>RAW_ORDERS!A45</f>
        <v/>
      </c>
      <c r="B45">
        <f>RAW_ORDERS!H45</f>
        <v/>
      </c>
      <c r="C45">
        <f>IF(RAW_ORDERS!I45="%",RAW_ORDERS!H45*RAW_ORDERS!J45/100,RAW_ORDERS!J45)</f>
        <v/>
      </c>
      <c r="D45">
        <f>IF(RAW_ORDERS!K45="%",RAW_ORDERS!H45*RAW_ORDERS!L45/100,RAW_ORDERS!L45)</f>
        <v/>
      </c>
      <c r="E45">
        <f>IF(RAW_ORDERS!M45="%",RAW_ORDERS!H45*RAW_ORDERS!N45/100,RAW_ORDERS!N45)</f>
        <v/>
      </c>
      <c r="F45">
        <f>D45-C45</f>
        <v/>
      </c>
      <c r="G45">
        <f>C45-E45</f>
        <v/>
      </c>
      <c r="H45">
        <f>F45+G45</f>
        <v/>
      </c>
    </row>
    <row r="46">
      <c r="A46">
        <f>RAW_ORDERS!A46</f>
        <v/>
      </c>
      <c r="B46">
        <f>RAW_ORDERS!H46</f>
        <v/>
      </c>
      <c r="C46">
        <f>IF(RAW_ORDERS!I46="%",RAW_ORDERS!H46*RAW_ORDERS!J46/100,RAW_ORDERS!J46)</f>
        <v/>
      </c>
      <c r="D46">
        <f>IF(RAW_ORDERS!K46="%",RAW_ORDERS!H46*RAW_ORDERS!L46/100,RAW_ORDERS!L46)</f>
        <v/>
      </c>
      <c r="E46">
        <f>IF(RAW_ORDERS!M46="%",RAW_ORDERS!H46*RAW_ORDERS!N46/100,RAW_ORDERS!N46)</f>
        <v/>
      </c>
      <c r="F46">
        <f>D46-C46</f>
        <v/>
      </c>
      <c r="G46">
        <f>C46-E46</f>
        <v/>
      </c>
      <c r="H46">
        <f>F46+G46</f>
        <v/>
      </c>
    </row>
    <row r="47">
      <c r="A47">
        <f>RAW_ORDERS!A47</f>
        <v/>
      </c>
      <c r="B47">
        <f>RAW_ORDERS!H47</f>
        <v/>
      </c>
      <c r="C47">
        <f>IF(RAW_ORDERS!I47="%",RAW_ORDERS!H47*RAW_ORDERS!J47/100,RAW_ORDERS!J47)</f>
        <v/>
      </c>
      <c r="D47">
        <f>IF(RAW_ORDERS!K47="%",RAW_ORDERS!H47*RAW_ORDERS!L47/100,RAW_ORDERS!L47)</f>
        <v/>
      </c>
      <c r="E47">
        <f>IF(RAW_ORDERS!M47="%",RAW_ORDERS!H47*RAW_ORDERS!N47/100,RAW_ORDERS!N47)</f>
        <v/>
      </c>
      <c r="F47">
        <f>D47-C47</f>
        <v/>
      </c>
      <c r="G47">
        <f>C47-E47</f>
        <v/>
      </c>
      <c r="H47">
        <f>F47+G47</f>
        <v/>
      </c>
    </row>
    <row r="48">
      <c r="A48">
        <f>RAW_ORDERS!A48</f>
        <v/>
      </c>
      <c r="B48">
        <f>RAW_ORDERS!H48</f>
        <v/>
      </c>
      <c r="C48">
        <f>IF(RAW_ORDERS!I48="%",RAW_ORDERS!H48*RAW_ORDERS!J48/100,RAW_ORDERS!J48)</f>
        <v/>
      </c>
      <c r="D48">
        <f>IF(RAW_ORDERS!K48="%",RAW_ORDERS!H48*RAW_ORDERS!L48/100,RAW_ORDERS!L48)</f>
        <v/>
      </c>
      <c r="E48">
        <f>IF(RAW_ORDERS!M48="%",RAW_ORDERS!H48*RAW_ORDERS!N48/100,RAW_ORDERS!N48)</f>
        <v/>
      </c>
      <c r="F48">
        <f>D48-C48</f>
        <v/>
      </c>
      <c r="G48">
        <f>C48-E48</f>
        <v/>
      </c>
      <c r="H48">
        <f>F48+G48</f>
        <v/>
      </c>
    </row>
    <row r="49">
      <c r="A49">
        <f>RAW_ORDERS!A49</f>
        <v/>
      </c>
      <c r="B49">
        <f>RAW_ORDERS!H49</f>
        <v/>
      </c>
      <c r="C49">
        <f>IF(RAW_ORDERS!I49="%",RAW_ORDERS!H49*RAW_ORDERS!J49/100,RAW_ORDERS!J49)</f>
        <v/>
      </c>
      <c r="D49">
        <f>IF(RAW_ORDERS!K49="%",RAW_ORDERS!H49*RAW_ORDERS!L49/100,RAW_ORDERS!L49)</f>
        <v/>
      </c>
      <c r="E49">
        <f>IF(RAW_ORDERS!M49="%",RAW_ORDERS!H49*RAW_ORDERS!N49/100,RAW_ORDERS!N49)</f>
        <v/>
      </c>
      <c r="F49">
        <f>D49-C49</f>
        <v/>
      </c>
      <c r="G49">
        <f>C49-E49</f>
        <v/>
      </c>
      <c r="H49">
        <f>F49+G49</f>
        <v/>
      </c>
    </row>
    <row r="50">
      <c r="A50">
        <f>RAW_ORDERS!A50</f>
        <v/>
      </c>
      <c r="B50">
        <f>RAW_ORDERS!H50</f>
        <v/>
      </c>
      <c r="C50">
        <f>IF(RAW_ORDERS!I50="%",RAW_ORDERS!H50*RAW_ORDERS!J50/100,RAW_ORDERS!J50)</f>
        <v/>
      </c>
      <c r="D50">
        <f>IF(RAW_ORDERS!K50="%",RAW_ORDERS!H50*RAW_ORDERS!L50/100,RAW_ORDERS!L50)</f>
        <v/>
      </c>
      <c r="E50">
        <f>IF(RAW_ORDERS!M50="%",RAW_ORDERS!H50*RAW_ORDERS!N50/100,RAW_ORDERS!N50)</f>
        <v/>
      </c>
      <c r="F50">
        <f>D50-C50</f>
        <v/>
      </c>
      <c r="G50">
        <f>C50-E50</f>
        <v/>
      </c>
      <c r="H50">
        <f>F50+G50</f>
        <v/>
      </c>
    </row>
    <row r="51">
      <c r="A51">
        <f>RAW_ORDERS!A51</f>
        <v/>
      </c>
      <c r="B51">
        <f>RAW_ORDERS!H51</f>
        <v/>
      </c>
      <c r="C51">
        <f>IF(RAW_ORDERS!I51="%",RAW_ORDERS!H51*RAW_ORDERS!J51/100,RAW_ORDERS!J51)</f>
        <v/>
      </c>
      <c r="D51">
        <f>IF(RAW_ORDERS!K51="%",RAW_ORDERS!H51*RAW_ORDERS!L51/100,RAW_ORDERS!L51)</f>
        <v/>
      </c>
      <c r="E51">
        <f>IF(RAW_ORDERS!M51="%",RAW_ORDERS!H51*RAW_ORDERS!N51/100,RAW_ORDERS!N51)</f>
        <v/>
      </c>
      <c r="F51">
        <f>D51-C51</f>
        <v/>
      </c>
      <c r="G51">
        <f>C51-E51</f>
        <v/>
      </c>
      <c r="H51">
        <f>F51+G51</f>
        <v/>
      </c>
    </row>
    <row r="52">
      <c r="A52">
        <f>RAW_ORDERS!A52</f>
        <v/>
      </c>
      <c r="B52">
        <f>RAW_ORDERS!H52</f>
        <v/>
      </c>
      <c r="C52">
        <f>IF(RAW_ORDERS!I52="%",RAW_ORDERS!H52*RAW_ORDERS!J52/100,RAW_ORDERS!J52)</f>
        <v/>
      </c>
      <c r="D52">
        <f>IF(RAW_ORDERS!K52="%",RAW_ORDERS!H52*RAW_ORDERS!L52/100,RAW_ORDERS!L52)</f>
        <v/>
      </c>
      <c r="E52">
        <f>IF(RAW_ORDERS!M52="%",RAW_ORDERS!H52*RAW_ORDERS!N52/100,RAW_ORDERS!N52)</f>
        <v/>
      </c>
      <c r="F52">
        <f>D52-C52</f>
        <v/>
      </c>
      <c r="G52">
        <f>C52-E52</f>
        <v/>
      </c>
      <c r="H52">
        <f>F52+G52</f>
        <v/>
      </c>
    </row>
    <row r="53">
      <c r="A53">
        <f>RAW_ORDERS!A53</f>
        <v/>
      </c>
      <c r="B53">
        <f>RAW_ORDERS!H53</f>
        <v/>
      </c>
      <c r="C53">
        <f>IF(RAW_ORDERS!I53="%",RAW_ORDERS!H53*RAW_ORDERS!J53/100,RAW_ORDERS!J53)</f>
        <v/>
      </c>
      <c r="D53">
        <f>IF(RAW_ORDERS!K53="%",RAW_ORDERS!H53*RAW_ORDERS!L53/100,RAW_ORDERS!L53)</f>
        <v/>
      </c>
      <c r="E53">
        <f>IF(RAW_ORDERS!M53="%",RAW_ORDERS!H53*RAW_ORDERS!N53/100,RAW_ORDERS!N53)</f>
        <v/>
      </c>
      <c r="F53">
        <f>D53-C53</f>
        <v/>
      </c>
      <c r="G53">
        <f>C53-E53</f>
        <v/>
      </c>
      <c r="H53">
        <f>F53+G53</f>
        <v/>
      </c>
    </row>
    <row r="54">
      <c r="A54">
        <f>RAW_ORDERS!A54</f>
        <v/>
      </c>
      <c r="B54">
        <f>RAW_ORDERS!H54</f>
        <v/>
      </c>
      <c r="C54">
        <f>IF(RAW_ORDERS!I54="%",RAW_ORDERS!H54*RAW_ORDERS!J54/100,RAW_ORDERS!J54)</f>
        <v/>
      </c>
      <c r="D54">
        <f>IF(RAW_ORDERS!K54="%",RAW_ORDERS!H54*RAW_ORDERS!L54/100,RAW_ORDERS!L54)</f>
        <v/>
      </c>
      <c r="E54">
        <f>IF(RAW_ORDERS!M54="%",RAW_ORDERS!H54*RAW_ORDERS!N54/100,RAW_ORDERS!N54)</f>
        <v/>
      </c>
      <c r="F54">
        <f>D54-C54</f>
        <v/>
      </c>
      <c r="G54">
        <f>C54-E54</f>
        <v/>
      </c>
      <c r="H54">
        <f>F54+G54</f>
        <v/>
      </c>
    </row>
    <row r="55">
      <c r="A55">
        <f>RAW_ORDERS!A55</f>
        <v/>
      </c>
      <c r="B55">
        <f>RAW_ORDERS!H55</f>
        <v/>
      </c>
      <c r="C55">
        <f>IF(RAW_ORDERS!I55="%",RAW_ORDERS!H55*RAW_ORDERS!J55/100,RAW_ORDERS!J55)</f>
        <v/>
      </c>
      <c r="D55">
        <f>IF(RAW_ORDERS!K55="%",RAW_ORDERS!H55*RAW_ORDERS!L55/100,RAW_ORDERS!L55)</f>
        <v/>
      </c>
      <c r="E55">
        <f>IF(RAW_ORDERS!M55="%",RAW_ORDERS!H55*RAW_ORDERS!N55/100,RAW_ORDERS!N55)</f>
        <v/>
      </c>
      <c r="F55">
        <f>D55-C55</f>
        <v/>
      </c>
      <c r="G55">
        <f>C55-E55</f>
        <v/>
      </c>
      <c r="H55">
        <f>F55+G55</f>
        <v/>
      </c>
    </row>
    <row r="56">
      <c r="A56">
        <f>RAW_ORDERS!A56</f>
        <v/>
      </c>
      <c r="B56">
        <f>RAW_ORDERS!H56</f>
        <v/>
      </c>
      <c r="C56">
        <f>IF(RAW_ORDERS!I56="%",RAW_ORDERS!H56*RAW_ORDERS!J56/100,RAW_ORDERS!J56)</f>
        <v/>
      </c>
      <c r="D56">
        <f>IF(RAW_ORDERS!K56="%",RAW_ORDERS!H56*RAW_ORDERS!L56/100,RAW_ORDERS!L56)</f>
        <v/>
      </c>
      <c r="E56">
        <f>IF(RAW_ORDERS!M56="%",RAW_ORDERS!H56*RAW_ORDERS!N56/100,RAW_ORDERS!N56)</f>
        <v/>
      </c>
      <c r="F56">
        <f>D56-C56</f>
        <v/>
      </c>
      <c r="G56">
        <f>C56-E56</f>
        <v/>
      </c>
      <c r="H56">
        <f>F56+G56</f>
        <v/>
      </c>
    </row>
    <row r="57">
      <c r="A57">
        <f>RAW_ORDERS!A57</f>
        <v/>
      </c>
      <c r="B57">
        <f>RAW_ORDERS!H57</f>
        <v/>
      </c>
      <c r="C57">
        <f>IF(RAW_ORDERS!I57="%",RAW_ORDERS!H57*RAW_ORDERS!J57/100,RAW_ORDERS!J57)</f>
        <v/>
      </c>
      <c r="D57">
        <f>IF(RAW_ORDERS!K57="%",RAW_ORDERS!H57*RAW_ORDERS!L57/100,RAW_ORDERS!L57)</f>
        <v/>
      </c>
      <c r="E57">
        <f>IF(RAW_ORDERS!M57="%",RAW_ORDERS!H57*RAW_ORDERS!N57/100,RAW_ORDERS!N57)</f>
        <v/>
      </c>
      <c r="F57">
        <f>D57-C57</f>
        <v/>
      </c>
      <c r="G57">
        <f>C57-E57</f>
        <v/>
      </c>
      <c r="H57">
        <f>F57+G57</f>
        <v/>
      </c>
    </row>
    <row r="58">
      <c r="A58">
        <f>RAW_ORDERS!A58</f>
        <v/>
      </c>
      <c r="B58">
        <f>RAW_ORDERS!H58</f>
        <v/>
      </c>
      <c r="C58">
        <f>IF(RAW_ORDERS!I58="%",RAW_ORDERS!H58*RAW_ORDERS!J58/100,RAW_ORDERS!J58)</f>
        <v/>
      </c>
      <c r="D58">
        <f>IF(RAW_ORDERS!K58="%",RAW_ORDERS!H58*RAW_ORDERS!L58/100,RAW_ORDERS!L58)</f>
        <v/>
      </c>
      <c r="E58">
        <f>IF(RAW_ORDERS!M58="%",RAW_ORDERS!H58*RAW_ORDERS!N58/100,RAW_ORDERS!N58)</f>
        <v/>
      </c>
      <c r="F58">
        <f>D58-C58</f>
        <v/>
      </c>
      <c r="G58">
        <f>C58-E58</f>
        <v/>
      </c>
      <c r="H58">
        <f>F58+G58</f>
        <v/>
      </c>
    </row>
    <row r="59">
      <c r="A59">
        <f>RAW_ORDERS!A59</f>
        <v/>
      </c>
      <c r="B59">
        <f>RAW_ORDERS!H59</f>
        <v/>
      </c>
      <c r="C59">
        <f>IF(RAW_ORDERS!I59="%",RAW_ORDERS!H59*RAW_ORDERS!J59/100,RAW_ORDERS!J59)</f>
        <v/>
      </c>
      <c r="D59">
        <f>IF(RAW_ORDERS!K59="%",RAW_ORDERS!H59*RAW_ORDERS!L59/100,RAW_ORDERS!L59)</f>
        <v/>
      </c>
      <c r="E59">
        <f>IF(RAW_ORDERS!M59="%",RAW_ORDERS!H59*RAW_ORDERS!N59/100,RAW_ORDERS!N59)</f>
        <v/>
      </c>
      <c r="F59">
        <f>D59-C59</f>
        <v/>
      </c>
      <c r="G59">
        <f>C59-E59</f>
        <v/>
      </c>
      <c r="H59">
        <f>F59+G59</f>
        <v/>
      </c>
    </row>
    <row r="60">
      <c r="A60">
        <f>RAW_ORDERS!A60</f>
        <v/>
      </c>
      <c r="B60">
        <f>RAW_ORDERS!H60</f>
        <v/>
      </c>
      <c r="C60">
        <f>IF(RAW_ORDERS!I60="%",RAW_ORDERS!H60*RAW_ORDERS!J60/100,RAW_ORDERS!J60)</f>
        <v/>
      </c>
      <c r="D60">
        <f>IF(RAW_ORDERS!K60="%",RAW_ORDERS!H60*RAW_ORDERS!L60/100,RAW_ORDERS!L60)</f>
        <v/>
      </c>
      <c r="E60">
        <f>IF(RAW_ORDERS!M60="%",RAW_ORDERS!H60*RAW_ORDERS!N60/100,RAW_ORDERS!N60)</f>
        <v/>
      </c>
      <c r="F60">
        <f>D60-C60</f>
        <v/>
      </c>
      <c r="G60">
        <f>C60-E60</f>
        <v/>
      </c>
      <c r="H60">
        <f>F60+G60</f>
        <v/>
      </c>
    </row>
    <row r="61">
      <c r="A61">
        <f>RAW_ORDERS!A61</f>
        <v/>
      </c>
      <c r="B61">
        <f>RAW_ORDERS!H61</f>
        <v/>
      </c>
      <c r="C61">
        <f>IF(RAW_ORDERS!I61="%",RAW_ORDERS!H61*RAW_ORDERS!J61/100,RAW_ORDERS!J61)</f>
        <v/>
      </c>
      <c r="D61">
        <f>IF(RAW_ORDERS!K61="%",RAW_ORDERS!H61*RAW_ORDERS!L61/100,RAW_ORDERS!L61)</f>
        <v/>
      </c>
      <c r="E61">
        <f>IF(RAW_ORDERS!M61="%",RAW_ORDERS!H61*RAW_ORDERS!N61/100,RAW_ORDERS!N61)</f>
        <v/>
      </c>
      <c r="F61">
        <f>D61-C61</f>
        <v/>
      </c>
      <c r="G61">
        <f>C61-E61</f>
        <v/>
      </c>
      <c r="H61">
        <f>F61+G61</f>
        <v/>
      </c>
    </row>
    <row r="62">
      <c r="A62">
        <f>RAW_ORDERS!A62</f>
        <v/>
      </c>
      <c r="B62">
        <f>RAW_ORDERS!H62</f>
        <v/>
      </c>
      <c r="C62">
        <f>IF(RAW_ORDERS!I62="%",RAW_ORDERS!H62*RAW_ORDERS!J62/100,RAW_ORDERS!J62)</f>
        <v/>
      </c>
      <c r="D62">
        <f>IF(RAW_ORDERS!K62="%",RAW_ORDERS!H62*RAW_ORDERS!L62/100,RAW_ORDERS!L62)</f>
        <v/>
      </c>
      <c r="E62">
        <f>IF(RAW_ORDERS!M62="%",RAW_ORDERS!H62*RAW_ORDERS!N62/100,RAW_ORDERS!N62)</f>
        <v/>
      </c>
      <c r="F62">
        <f>D62-C62</f>
        <v/>
      </c>
      <c r="G62">
        <f>C62-E62</f>
        <v/>
      </c>
      <c r="H62">
        <f>F62+G62</f>
        <v/>
      </c>
    </row>
    <row r="63">
      <c r="A63">
        <f>RAW_ORDERS!A63</f>
        <v/>
      </c>
      <c r="B63">
        <f>RAW_ORDERS!H63</f>
        <v/>
      </c>
      <c r="C63">
        <f>IF(RAW_ORDERS!I63="%",RAW_ORDERS!H63*RAW_ORDERS!J63/100,RAW_ORDERS!J63)</f>
        <v/>
      </c>
      <c r="D63">
        <f>IF(RAW_ORDERS!K63="%",RAW_ORDERS!H63*RAW_ORDERS!L63/100,RAW_ORDERS!L63)</f>
        <v/>
      </c>
      <c r="E63">
        <f>IF(RAW_ORDERS!M63="%",RAW_ORDERS!H63*RAW_ORDERS!N63/100,RAW_ORDERS!N63)</f>
        <v/>
      </c>
      <c r="F63">
        <f>D63-C63</f>
        <v/>
      </c>
      <c r="G63">
        <f>C63-E63</f>
        <v/>
      </c>
      <c r="H63">
        <f>F63+G63</f>
        <v/>
      </c>
    </row>
    <row r="64">
      <c r="A64">
        <f>RAW_ORDERS!A64</f>
        <v/>
      </c>
      <c r="B64">
        <f>RAW_ORDERS!H64</f>
        <v/>
      </c>
      <c r="C64">
        <f>IF(RAW_ORDERS!I64="%",RAW_ORDERS!H64*RAW_ORDERS!J64/100,RAW_ORDERS!J64)</f>
        <v/>
      </c>
      <c r="D64">
        <f>IF(RAW_ORDERS!K64="%",RAW_ORDERS!H64*RAW_ORDERS!L64/100,RAW_ORDERS!L64)</f>
        <v/>
      </c>
      <c r="E64">
        <f>IF(RAW_ORDERS!M64="%",RAW_ORDERS!H64*RAW_ORDERS!N64/100,RAW_ORDERS!N64)</f>
        <v/>
      </c>
      <c r="F64">
        <f>D64-C64</f>
        <v/>
      </c>
      <c r="G64">
        <f>C64-E64</f>
        <v/>
      </c>
      <c r="H64">
        <f>F64+G64</f>
        <v/>
      </c>
    </row>
    <row r="65">
      <c r="A65">
        <f>RAW_ORDERS!A65</f>
        <v/>
      </c>
      <c r="B65">
        <f>RAW_ORDERS!H65</f>
        <v/>
      </c>
      <c r="C65">
        <f>IF(RAW_ORDERS!I65="%",RAW_ORDERS!H65*RAW_ORDERS!J65/100,RAW_ORDERS!J65)</f>
        <v/>
      </c>
      <c r="D65">
        <f>IF(RAW_ORDERS!K65="%",RAW_ORDERS!H65*RAW_ORDERS!L65/100,RAW_ORDERS!L65)</f>
        <v/>
      </c>
      <c r="E65">
        <f>IF(RAW_ORDERS!M65="%",RAW_ORDERS!H65*RAW_ORDERS!N65/100,RAW_ORDERS!N65)</f>
        <v/>
      </c>
      <c r="F65">
        <f>D65-C65</f>
        <v/>
      </c>
      <c r="G65">
        <f>C65-E65</f>
        <v/>
      </c>
      <c r="H65">
        <f>F65+G65</f>
        <v/>
      </c>
    </row>
    <row r="66">
      <c r="A66">
        <f>RAW_ORDERS!A66</f>
        <v/>
      </c>
      <c r="B66">
        <f>RAW_ORDERS!H66</f>
        <v/>
      </c>
      <c r="C66">
        <f>IF(RAW_ORDERS!I66="%",RAW_ORDERS!H66*RAW_ORDERS!J66/100,RAW_ORDERS!J66)</f>
        <v/>
      </c>
      <c r="D66">
        <f>IF(RAW_ORDERS!K66="%",RAW_ORDERS!H66*RAW_ORDERS!L66/100,RAW_ORDERS!L66)</f>
        <v/>
      </c>
      <c r="E66">
        <f>IF(RAW_ORDERS!M66="%",RAW_ORDERS!H66*RAW_ORDERS!N66/100,RAW_ORDERS!N66)</f>
        <v/>
      </c>
      <c r="F66">
        <f>D66-C66</f>
        <v/>
      </c>
      <c r="G66">
        <f>C66-E66</f>
        <v/>
      </c>
      <c r="H66">
        <f>F66+G66</f>
        <v/>
      </c>
    </row>
    <row r="67">
      <c r="A67">
        <f>RAW_ORDERS!A67</f>
        <v/>
      </c>
      <c r="B67">
        <f>RAW_ORDERS!H67</f>
        <v/>
      </c>
      <c r="C67">
        <f>IF(RAW_ORDERS!I67="%",RAW_ORDERS!H67*RAW_ORDERS!J67/100,RAW_ORDERS!J67)</f>
        <v/>
      </c>
      <c r="D67">
        <f>IF(RAW_ORDERS!K67="%",RAW_ORDERS!H67*RAW_ORDERS!L67/100,RAW_ORDERS!L67)</f>
        <v/>
      </c>
      <c r="E67">
        <f>IF(RAW_ORDERS!M67="%",RAW_ORDERS!H67*RAW_ORDERS!N67/100,RAW_ORDERS!N67)</f>
        <v/>
      </c>
      <c r="F67">
        <f>D67-C67</f>
        <v/>
      </c>
      <c r="G67">
        <f>C67-E67</f>
        <v/>
      </c>
      <c r="H67">
        <f>F67+G67</f>
        <v/>
      </c>
    </row>
    <row r="68">
      <c r="A68">
        <f>RAW_ORDERS!A68</f>
        <v/>
      </c>
      <c r="B68">
        <f>RAW_ORDERS!H68</f>
        <v/>
      </c>
      <c r="C68">
        <f>IF(RAW_ORDERS!I68="%",RAW_ORDERS!H68*RAW_ORDERS!J68/100,RAW_ORDERS!J68)</f>
        <v/>
      </c>
      <c r="D68">
        <f>IF(RAW_ORDERS!K68="%",RAW_ORDERS!H68*RAW_ORDERS!L68/100,RAW_ORDERS!L68)</f>
        <v/>
      </c>
      <c r="E68">
        <f>IF(RAW_ORDERS!M68="%",RAW_ORDERS!H68*RAW_ORDERS!N68/100,RAW_ORDERS!N68)</f>
        <v/>
      </c>
      <c r="F68">
        <f>D68-C68</f>
        <v/>
      </c>
      <c r="G68">
        <f>C68-E68</f>
        <v/>
      </c>
      <c r="H68">
        <f>F68+G68</f>
        <v/>
      </c>
    </row>
    <row r="69">
      <c r="A69">
        <f>RAW_ORDERS!A69</f>
        <v/>
      </c>
      <c r="B69">
        <f>RAW_ORDERS!H69</f>
        <v/>
      </c>
      <c r="C69">
        <f>IF(RAW_ORDERS!I69="%",RAW_ORDERS!H69*RAW_ORDERS!J69/100,RAW_ORDERS!J69)</f>
        <v/>
      </c>
      <c r="D69">
        <f>IF(RAW_ORDERS!K69="%",RAW_ORDERS!H69*RAW_ORDERS!L69/100,RAW_ORDERS!L69)</f>
        <v/>
      </c>
      <c r="E69">
        <f>IF(RAW_ORDERS!M69="%",RAW_ORDERS!H69*RAW_ORDERS!N69/100,RAW_ORDERS!N69)</f>
        <v/>
      </c>
      <c r="F69">
        <f>D69-C69</f>
        <v/>
      </c>
      <c r="G69">
        <f>C69-E69</f>
        <v/>
      </c>
      <c r="H69">
        <f>F69+G69</f>
        <v/>
      </c>
    </row>
    <row r="70">
      <c r="A70">
        <f>RAW_ORDERS!A70</f>
        <v/>
      </c>
      <c r="B70">
        <f>RAW_ORDERS!H70</f>
        <v/>
      </c>
      <c r="C70">
        <f>IF(RAW_ORDERS!I70="%",RAW_ORDERS!H70*RAW_ORDERS!J70/100,RAW_ORDERS!J70)</f>
        <v/>
      </c>
      <c r="D70">
        <f>IF(RAW_ORDERS!K70="%",RAW_ORDERS!H70*RAW_ORDERS!L70/100,RAW_ORDERS!L70)</f>
        <v/>
      </c>
      <c r="E70">
        <f>IF(RAW_ORDERS!M70="%",RAW_ORDERS!H70*RAW_ORDERS!N70/100,RAW_ORDERS!N70)</f>
        <v/>
      </c>
      <c r="F70">
        <f>D70-C70</f>
        <v/>
      </c>
      <c r="G70">
        <f>C70-E70</f>
        <v/>
      </c>
      <c r="H70">
        <f>F70+G70</f>
        <v/>
      </c>
    </row>
    <row r="71">
      <c r="A71">
        <f>RAW_ORDERS!A71</f>
        <v/>
      </c>
      <c r="B71">
        <f>RAW_ORDERS!H71</f>
        <v/>
      </c>
      <c r="C71">
        <f>IF(RAW_ORDERS!I71="%",RAW_ORDERS!H71*RAW_ORDERS!J71/100,RAW_ORDERS!J71)</f>
        <v/>
      </c>
      <c r="D71">
        <f>IF(RAW_ORDERS!K71="%",RAW_ORDERS!H71*RAW_ORDERS!L71/100,RAW_ORDERS!L71)</f>
        <v/>
      </c>
      <c r="E71">
        <f>IF(RAW_ORDERS!M71="%",RAW_ORDERS!H71*RAW_ORDERS!N71/100,RAW_ORDERS!N71)</f>
        <v/>
      </c>
      <c r="F71">
        <f>D71-C71</f>
        <v/>
      </c>
      <c r="G71">
        <f>C71-E71</f>
        <v/>
      </c>
      <c r="H71">
        <f>F71+G71</f>
        <v/>
      </c>
    </row>
    <row r="72">
      <c r="A72">
        <f>RAW_ORDERS!A72</f>
        <v/>
      </c>
      <c r="B72">
        <f>RAW_ORDERS!H72</f>
        <v/>
      </c>
      <c r="C72">
        <f>IF(RAW_ORDERS!I72="%",RAW_ORDERS!H72*RAW_ORDERS!J72/100,RAW_ORDERS!J72)</f>
        <v/>
      </c>
      <c r="D72">
        <f>IF(RAW_ORDERS!K72="%",RAW_ORDERS!H72*RAW_ORDERS!L72/100,RAW_ORDERS!L72)</f>
        <v/>
      </c>
      <c r="E72">
        <f>IF(RAW_ORDERS!M72="%",RAW_ORDERS!H72*RAW_ORDERS!N72/100,RAW_ORDERS!N72)</f>
        <v/>
      </c>
      <c r="F72">
        <f>D72-C72</f>
        <v/>
      </c>
      <c r="G72">
        <f>C72-E72</f>
        <v/>
      </c>
      <c r="H72">
        <f>F72+G72</f>
        <v/>
      </c>
    </row>
    <row r="73">
      <c r="A73">
        <f>RAW_ORDERS!A73</f>
        <v/>
      </c>
      <c r="B73">
        <f>RAW_ORDERS!H73</f>
        <v/>
      </c>
      <c r="C73">
        <f>IF(RAW_ORDERS!I73="%",RAW_ORDERS!H73*RAW_ORDERS!J73/100,RAW_ORDERS!J73)</f>
        <v/>
      </c>
      <c r="D73">
        <f>IF(RAW_ORDERS!K73="%",RAW_ORDERS!H73*RAW_ORDERS!L73/100,RAW_ORDERS!L73)</f>
        <v/>
      </c>
      <c r="E73">
        <f>IF(RAW_ORDERS!M73="%",RAW_ORDERS!H73*RAW_ORDERS!N73/100,RAW_ORDERS!N73)</f>
        <v/>
      </c>
      <c r="F73">
        <f>D73-C73</f>
        <v/>
      </c>
      <c r="G73">
        <f>C73-E73</f>
        <v/>
      </c>
      <c r="H73">
        <f>F73+G73</f>
        <v/>
      </c>
    </row>
    <row r="74">
      <c r="A74">
        <f>RAW_ORDERS!A74</f>
        <v/>
      </c>
      <c r="B74">
        <f>RAW_ORDERS!H74</f>
        <v/>
      </c>
      <c r="C74">
        <f>IF(RAW_ORDERS!I74="%",RAW_ORDERS!H74*RAW_ORDERS!J74/100,RAW_ORDERS!J74)</f>
        <v/>
      </c>
      <c r="D74">
        <f>IF(RAW_ORDERS!K74="%",RAW_ORDERS!H74*RAW_ORDERS!L74/100,RAW_ORDERS!L74)</f>
        <v/>
      </c>
      <c r="E74">
        <f>IF(RAW_ORDERS!M74="%",RAW_ORDERS!H74*RAW_ORDERS!N74/100,RAW_ORDERS!N74)</f>
        <v/>
      </c>
      <c r="F74">
        <f>D74-C74</f>
        <v/>
      </c>
      <c r="G74">
        <f>C74-E74</f>
        <v/>
      </c>
      <c r="H74">
        <f>F74+G74</f>
        <v/>
      </c>
    </row>
    <row r="75">
      <c r="A75">
        <f>RAW_ORDERS!A75</f>
        <v/>
      </c>
      <c r="B75">
        <f>RAW_ORDERS!H75</f>
        <v/>
      </c>
      <c r="C75">
        <f>IF(RAW_ORDERS!I75="%",RAW_ORDERS!H75*RAW_ORDERS!J75/100,RAW_ORDERS!J75)</f>
        <v/>
      </c>
      <c r="D75">
        <f>IF(RAW_ORDERS!K75="%",RAW_ORDERS!H75*RAW_ORDERS!L75/100,RAW_ORDERS!L75)</f>
        <v/>
      </c>
      <c r="E75">
        <f>IF(RAW_ORDERS!M75="%",RAW_ORDERS!H75*RAW_ORDERS!N75/100,RAW_ORDERS!N75)</f>
        <v/>
      </c>
      <c r="F75">
        <f>D75-C75</f>
        <v/>
      </c>
      <c r="G75">
        <f>C75-E75</f>
        <v/>
      </c>
      <c r="H75">
        <f>F75+G75</f>
        <v/>
      </c>
    </row>
    <row r="76">
      <c r="A76">
        <f>RAW_ORDERS!A76</f>
        <v/>
      </c>
      <c r="B76">
        <f>RAW_ORDERS!H76</f>
        <v/>
      </c>
      <c r="C76">
        <f>IF(RAW_ORDERS!I76="%",RAW_ORDERS!H76*RAW_ORDERS!J76/100,RAW_ORDERS!J76)</f>
        <v/>
      </c>
      <c r="D76">
        <f>IF(RAW_ORDERS!K76="%",RAW_ORDERS!H76*RAW_ORDERS!L76/100,RAW_ORDERS!L76)</f>
        <v/>
      </c>
      <c r="E76">
        <f>IF(RAW_ORDERS!M76="%",RAW_ORDERS!H76*RAW_ORDERS!N76/100,RAW_ORDERS!N76)</f>
        <v/>
      </c>
      <c r="F76">
        <f>D76-C76</f>
        <v/>
      </c>
      <c r="G76">
        <f>C76-E76</f>
        <v/>
      </c>
      <c r="H76">
        <f>F76+G76</f>
        <v/>
      </c>
    </row>
    <row r="77">
      <c r="A77">
        <f>RAW_ORDERS!A77</f>
        <v/>
      </c>
      <c r="B77">
        <f>RAW_ORDERS!H77</f>
        <v/>
      </c>
      <c r="C77">
        <f>IF(RAW_ORDERS!I77="%",RAW_ORDERS!H77*RAW_ORDERS!J77/100,RAW_ORDERS!J77)</f>
        <v/>
      </c>
      <c r="D77">
        <f>IF(RAW_ORDERS!K77="%",RAW_ORDERS!H77*RAW_ORDERS!L77/100,RAW_ORDERS!L77)</f>
        <v/>
      </c>
      <c r="E77">
        <f>IF(RAW_ORDERS!M77="%",RAW_ORDERS!H77*RAW_ORDERS!N77/100,RAW_ORDERS!N77)</f>
        <v/>
      </c>
      <c r="F77">
        <f>D77-C77</f>
        <v/>
      </c>
      <c r="G77">
        <f>C77-E77</f>
        <v/>
      </c>
      <c r="H77">
        <f>F77+G77</f>
        <v/>
      </c>
    </row>
    <row r="78">
      <c r="A78">
        <f>RAW_ORDERS!A78</f>
        <v/>
      </c>
      <c r="B78">
        <f>RAW_ORDERS!H78</f>
        <v/>
      </c>
      <c r="C78">
        <f>IF(RAW_ORDERS!I78="%",RAW_ORDERS!H78*RAW_ORDERS!J78/100,RAW_ORDERS!J78)</f>
        <v/>
      </c>
      <c r="D78">
        <f>IF(RAW_ORDERS!K78="%",RAW_ORDERS!H78*RAW_ORDERS!L78/100,RAW_ORDERS!L78)</f>
        <v/>
      </c>
      <c r="E78">
        <f>IF(RAW_ORDERS!M78="%",RAW_ORDERS!H78*RAW_ORDERS!N78/100,RAW_ORDERS!N78)</f>
        <v/>
      </c>
      <c r="F78">
        <f>D78-C78</f>
        <v/>
      </c>
      <c r="G78">
        <f>C78-E78</f>
        <v/>
      </c>
      <c r="H78">
        <f>F78+G78</f>
        <v/>
      </c>
    </row>
    <row r="79">
      <c r="A79">
        <f>RAW_ORDERS!A79</f>
        <v/>
      </c>
      <c r="B79">
        <f>RAW_ORDERS!H79</f>
        <v/>
      </c>
      <c r="C79">
        <f>IF(RAW_ORDERS!I79="%",RAW_ORDERS!H79*RAW_ORDERS!J79/100,RAW_ORDERS!J79)</f>
        <v/>
      </c>
      <c r="D79">
        <f>IF(RAW_ORDERS!K79="%",RAW_ORDERS!H79*RAW_ORDERS!L79/100,RAW_ORDERS!L79)</f>
        <v/>
      </c>
      <c r="E79">
        <f>IF(RAW_ORDERS!M79="%",RAW_ORDERS!H79*RAW_ORDERS!N79/100,RAW_ORDERS!N79)</f>
        <v/>
      </c>
      <c r="F79">
        <f>D79-C79</f>
        <v/>
      </c>
      <c r="G79">
        <f>C79-E79</f>
        <v/>
      </c>
      <c r="H79">
        <f>F79+G79</f>
        <v/>
      </c>
    </row>
    <row r="80">
      <c r="A80">
        <f>RAW_ORDERS!A80</f>
        <v/>
      </c>
      <c r="B80">
        <f>RAW_ORDERS!H80</f>
        <v/>
      </c>
      <c r="C80">
        <f>IF(RAW_ORDERS!I80="%",RAW_ORDERS!H80*RAW_ORDERS!J80/100,RAW_ORDERS!J80)</f>
        <v/>
      </c>
      <c r="D80">
        <f>IF(RAW_ORDERS!K80="%",RAW_ORDERS!H80*RAW_ORDERS!L80/100,RAW_ORDERS!L80)</f>
        <v/>
      </c>
      <c r="E80">
        <f>IF(RAW_ORDERS!M80="%",RAW_ORDERS!H80*RAW_ORDERS!N80/100,RAW_ORDERS!N80)</f>
        <v/>
      </c>
      <c r="F80">
        <f>D80-C80</f>
        <v/>
      </c>
      <c r="G80">
        <f>C80-E80</f>
        <v/>
      </c>
      <c r="H80">
        <f>F80+G80</f>
        <v/>
      </c>
    </row>
    <row r="81">
      <c r="A81">
        <f>RAW_ORDERS!A81</f>
        <v/>
      </c>
      <c r="B81">
        <f>RAW_ORDERS!H81</f>
        <v/>
      </c>
      <c r="C81">
        <f>IF(RAW_ORDERS!I81="%",RAW_ORDERS!H81*RAW_ORDERS!J81/100,RAW_ORDERS!J81)</f>
        <v/>
      </c>
      <c r="D81">
        <f>IF(RAW_ORDERS!K81="%",RAW_ORDERS!H81*RAW_ORDERS!L81/100,RAW_ORDERS!L81)</f>
        <v/>
      </c>
      <c r="E81">
        <f>IF(RAW_ORDERS!M81="%",RAW_ORDERS!H81*RAW_ORDERS!N81/100,RAW_ORDERS!N81)</f>
        <v/>
      </c>
      <c r="F81">
        <f>D81-C81</f>
        <v/>
      </c>
      <c r="G81">
        <f>C81-E81</f>
        <v/>
      </c>
      <c r="H81">
        <f>F81+G81</f>
        <v/>
      </c>
    </row>
    <row r="82">
      <c r="A82">
        <f>RAW_ORDERS!A82</f>
        <v/>
      </c>
      <c r="B82">
        <f>RAW_ORDERS!H82</f>
        <v/>
      </c>
      <c r="C82">
        <f>IF(RAW_ORDERS!I82="%",RAW_ORDERS!H82*RAW_ORDERS!J82/100,RAW_ORDERS!J82)</f>
        <v/>
      </c>
      <c r="D82">
        <f>IF(RAW_ORDERS!K82="%",RAW_ORDERS!H82*RAW_ORDERS!L82/100,RAW_ORDERS!L82)</f>
        <v/>
      </c>
      <c r="E82">
        <f>IF(RAW_ORDERS!M82="%",RAW_ORDERS!H82*RAW_ORDERS!N82/100,RAW_ORDERS!N82)</f>
        <v/>
      </c>
      <c r="F82">
        <f>D82-C82</f>
        <v/>
      </c>
      <c r="G82">
        <f>C82-E82</f>
        <v/>
      </c>
      <c r="H82">
        <f>F82+G82</f>
        <v/>
      </c>
    </row>
    <row r="83">
      <c r="A83">
        <f>RAW_ORDERS!A83</f>
        <v/>
      </c>
      <c r="B83">
        <f>RAW_ORDERS!H83</f>
        <v/>
      </c>
      <c r="C83">
        <f>IF(RAW_ORDERS!I83="%",RAW_ORDERS!H83*RAW_ORDERS!J83/100,RAW_ORDERS!J83)</f>
        <v/>
      </c>
      <c r="D83">
        <f>IF(RAW_ORDERS!K83="%",RAW_ORDERS!H83*RAW_ORDERS!L83/100,RAW_ORDERS!L83)</f>
        <v/>
      </c>
      <c r="E83">
        <f>IF(RAW_ORDERS!M83="%",RAW_ORDERS!H83*RAW_ORDERS!N83/100,RAW_ORDERS!N83)</f>
        <v/>
      </c>
      <c r="F83">
        <f>D83-C83</f>
        <v/>
      </c>
      <c r="G83">
        <f>C83-E83</f>
        <v/>
      </c>
      <c r="H83">
        <f>F83+G83</f>
        <v/>
      </c>
    </row>
    <row r="84">
      <c r="A84">
        <f>RAW_ORDERS!A84</f>
        <v/>
      </c>
      <c r="B84">
        <f>RAW_ORDERS!H84</f>
        <v/>
      </c>
      <c r="C84">
        <f>IF(RAW_ORDERS!I84="%",RAW_ORDERS!H84*RAW_ORDERS!J84/100,RAW_ORDERS!J84)</f>
        <v/>
      </c>
      <c r="D84">
        <f>IF(RAW_ORDERS!K84="%",RAW_ORDERS!H84*RAW_ORDERS!L84/100,RAW_ORDERS!L84)</f>
        <v/>
      </c>
      <c r="E84">
        <f>IF(RAW_ORDERS!M84="%",RAW_ORDERS!H84*RAW_ORDERS!N84/100,RAW_ORDERS!N84)</f>
        <v/>
      </c>
      <c r="F84">
        <f>D84-C84</f>
        <v/>
      </c>
      <c r="G84">
        <f>C84-E84</f>
        <v/>
      </c>
      <c r="H84">
        <f>F84+G84</f>
        <v/>
      </c>
    </row>
    <row r="85">
      <c r="A85">
        <f>RAW_ORDERS!A85</f>
        <v/>
      </c>
      <c r="B85">
        <f>RAW_ORDERS!H85</f>
        <v/>
      </c>
      <c r="C85">
        <f>IF(RAW_ORDERS!I85="%",RAW_ORDERS!H85*RAW_ORDERS!J85/100,RAW_ORDERS!J85)</f>
        <v/>
      </c>
      <c r="D85">
        <f>IF(RAW_ORDERS!K85="%",RAW_ORDERS!H85*RAW_ORDERS!L85/100,RAW_ORDERS!L85)</f>
        <v/>
      </c>
      <c r="E85">
        <f>IF(RAW_ORDERS!M85="%",RAW_ORDERS!H85*RAW_ORDERS!N85/100,RAW_ORDERS!N85)</f>
        <v/>
      </c>
      <c r="F85">
        <f>D85-C85</f>
        <v/>
      </c>
      <c r="G85">
        <f>C85-E85</f>
        <v/>
      </c>
      <c r="H85">
        <f>F85+G85</f>
        <v/>
      </c>
    </row>
    <row r="86">
      <c r="A86">
        <f>RAW_ORDERS!A86</f>
        <v/>
      </c>
      <c r="B86">
        <f>RAW_ORDERS!H86</f>
        <v/>
      </c>
      <c r="C86">
        <f>IF(RAW_ORDERS!I86="%",RAW_ORDERS!H86*RAW_ORDERS!J86/100,RAW_ORDERS!J86)</f>
        <v/>
      </c>
      <c r="D86">
        <f>IF(RAW_ORDERS!K86="%",RAW_ORDERS!H86*RAW_ORDERS!L86/100,RAW_ORDERS!L86)</f>
        <v/>
      </c>
      <c r="E86">
        <f>IF(RAW_ORDERS!M86="%",RAW_ORDERS!H86*RAW_ORDERS!N86/100,RAW_ORDERS!N86)</f>
        <v/>
      </c>
      <c r="F86">
        <f>D86-C86</f>
        <v/>
      </c>
      <c r="G86">
        <f>C86-E86</f>
        <v/>
      </c>
      <c r="H86">
        <f>F86+G86</f>
        <v/>
      </c>
    </row>
    <row r="87">
      <c r="A87">
        <f>RAW_ORDERS!A87</f>
        <v/>
      </c>
      <c r="B87">
        <f>RAW_ORDERS!H87</f>
        <v/>
      </c>
      <c r="C87">
        <f>IF(RAW_ORDERS!I87="%",RAW_ORDERS!H87*RAW_ORDERS!J87/100,RAW_ORDERS!J87)</f>
        <v/>
      </c>
      <c r="D87">
        <f>IF(RAW_ORDERS!K87="%",RAW_ORDERS!H87*RAW_ORDERS!L87/100,RAW_ORDERS!L87)</f>
        <v/>
      </c>
      <c r="E87">
        <f>IF(RAW_ORDERS!M87="%",RAW_ORDERS!H87*RAW_ORDERS!N87/100,RAW_ORDERS!N87)</f>
        <v/>
      </c>
      <c r="F87">
        <f>D87-C87</f>
        <v/>
      </c>
      <c r="G87">
        <f>C87-E87</f>
        <v/>
      </c>
      <c r="H87">
        <f>F87+G87</f>
        <v/>
      </c>
    </row>
    <row r="88">
      <c r="A88">
        <f>RAW_ORDERS!A88</f>
        <v/>
      </c>
      <c r="B88">
        <f>RAW_ORDERS!H88</f>
        <v/>
      </c>
      <c r="C88">
        <f>IF(RAW_ORDERS!I88="%",RAW_ORDERS!H88*RAW_ORDERS!J88/100,RAW_ORDERS!J88)</f>
        <v/>
      </c>
      <c r="D88">
        <f>IF(RAW_ORDERS!K88="%",RAW_ORDERS!H88*RAW_ORDERS!L88/100,RAW_ORDERS!L88)</f>
        <v/>
      </c>
      <c r="E88">
        <f>IF(RAW_ORDERS!M88="%",RAW_ORDERS!H88*RAW_ORDERS!N88/100,RAW_ORDERS!N88)</f>
        <v/>
      </c>
      <c r="F88">
        <f>D88-C88</f>
        <v/>
      </c>
      <c r="G88">
        <f>C88-E88</f>
        <v/>
      </c>
      <c r="H88">
        <f>F88+G88</f>
        <v/>
      </c>
    </row>
    <row r="89">
      <c r="A89">
        <f>RAW_ORDERS!A89</f>
        <v/>
      </c>
      <c r="B89">
        <f>RAW_ORDERS!H89</f>
        <v/>
      </c>
      <c r="C89">
        <f>IF(RAW_ORDERS!I89="%",RAW_ORDERS!H89*RAW_ORDERS!J89/100,RAW_ORDERS!J89)</f>
        <v/>
      </c>
      <c r="D89">
        <f>IF(RAW_ORDERS!K89="%",RAW_ORDERS!H89*RAW_ORDERS!L89/100,RAW_ORDERS!L89)</f>
        <v/>
      </c>
      <c r="E89">
        <f>IF(RAW_ORDERS!M89="%",RAW_ORDERS!H89*RAW_ORDERS!N89/100,RAW_ORDERS!N89)</f>
        <v/>
      </c>
      <c r="F89">
        <f>D89-C89</f>
        <v/>
      </c>
      <c r="G89">
        <f>C89-E89</f>
        <v/>
      </c>
      <c r="H89">
        <f>F89+G89</f>
        <v/>
      </c>
    </row>
    <row r="90">
      <c r="A90">
        <f>RAW_ORDERS!A90</f>
        <v/>
      </c>
      <c r="B90">
        <f>RAW_ORDERS!H90</f>
        <v/>
      </c>
      <c r="C90">
        <f>IF(RAW_ORDERS!I90="%",RAW_ORDERS!H90*RAW_ORDERS!J90/100,RAW_ORDERS!J90)</f>
        <v/>
      </c>
      <c r="D90">
        <f>IF(RAW_ORDERS!K90="%",RAW_ORDERS!H90*RAW_ORDERS!L90/100,RAW_ORDERS!L90)</f>
        <v/>
      </c>
      <c r="E90">
        <f>IF(RAW_ORDERS!M90="%",RAW_ORDERS!H90*RAW_ORDERS!N90/100,RAW_ORDERS!N90)</f>
        <v/>
      </c>
      <c r="F90">
        <f>D90-C90</f>
        <v/>
      </c>
      <c r="G90">
        <f>C90-E90</f>
        <v/>
      </c>
      <c r="H90">
        <f>F90+G90</f>
        <v/>
      </c>
    </row>
    <row r="91">
      <c r="A91">
        <f>RAW_ORDERS!A91</f>
        <v/>
      </c>
      <c r="B91">
        <f>RAW_ORDERS!H91</f>
        <v/>
      </c>
      <c r="C91">
        <f>IF(RAW_ORDERS!I91="%",RAW_ORDERS!H91*RAW_ORDERS!J91/100,RAW_ORDERS!J91)</f>
        <v/>
      </c>
      <c r="D91">
        <f>IF(RAW_ORDERS!K91="%",RAW_ORDERS!H91*RAW_ORDERS!L91/100,RAW_ORDERS!L91)</f>
        <v/>
      </c>
      <c r="E91">
        <f>IF(RAW_ORDERS!M91="%",RAW_ORDERS!H91*RAW_ORDERS!N91/100,RAW_ORDERS!N91)</f>
        <v/>
      </c>
      <c r="F91">
        <f>D91-C91</f>
        <v/>
      </c>
      <c r="G91">
        <f>C91-E91</f>
        <v/>
      </c>
      <c r="H91">
        <f>F91+G91</f>
        <v/>
      </c>
    </row>
    <row r="92">
      <c r="A92">
        <f>RAW_ORDERS!A92</f>
        <v/>
      </c>
      <c r="B92">
        <f>RAW_ORDERS!H92</f>
        <v/>
      </c>
      <c r="C92">
        <f>IF(RAW_ORDERS!I92="%",RAW_ORDERS!H92*RAW_ORDERS!J92/100,RAW_ORDERS!J92)</f>
        <v/>
      </c>
      <c r="D92">
        <f>IF(RAW_ORDERS!K92="%",RAW_ORDERS!H92*RAW_ORDERS!L92/100,RAW_ORDERS!L92)</f>
        <v/>
      </c>
      <c r="E92">
        <f>IF(RAW_ORDERS!M92="%",RAW_ORDERS!H92*RAW_ORDERS!N92/100,RAW_ORDERS!N92)</f>
        <v/>
      </c>
      <c r="F92">
        <f>D92-C92</f>
        <v/>
      </c>
      <c r="G92">
        <f>C92-E92</f>
        <v/>
      </c>
      <c r="H92">
        <f>F92+G92</f>
        <v/>
      </c>
    </row>
    <row r="93">
      <c r="A93">
        <f>RAW_ORDERS!A93</f>
        <v/>
      </c>
      <c r="B93">
        <f>RAW_ORDERS!H93</f>
        <v/>
      </c>
      <c r="C93">
        <f>IF(RAW_ORDERS!I93="%",RAW_ORDERS!H93*RAW_ORDERS!J93/100,RAW_ORDERS!J93)</f>
        <v/>
      </c>
      <c r="D93">
        <f>IF(RAW_ORDERS!K93="%",RAW_ORDERS!H93*RAW_ORDERS!L93/100,RAW_ORDERS!L93)</f>
        <v/>
      </c>
      <c r="E93">
        <f>IF(RAW_ORDERS!M93="%",RAW_ORDERS!H93*RAW_ORDERS!N93/100,RAW_ORDERS!N93)</f>
        <v/>
      </c>
      <c r="F93">
        <f>D93-C93</f>
        <v/>
      </c>
      <c r="G93">
        <f>C93-E93</f>
        <v/>
      </c>
      <c r="H93">
        <f>F93+G93</f>
        <v/>
      </c>
    </row>
    <row r="94">
      <c r="A94">
        <f>RAW_ORDERS!A94</f>
        <v/>
      </c>
      <c r="B94">
        <f>RAW_ORDERS!H94</f>
        <v/>
      </c>
      <c r="C94">
        <f>IF(RAW_ORDERS!I94="%",RAW_ORDERS!H94*RAW_ORDERS!J94/100,RAW_ORDERS!J94)</f>
        <v/>
      </c>
      <c r="D94">
        <f>IF(RAW_ORDERS!K94="%",RAW_ORDERS!H94*RAW_ORDERS!L94/100,RAW_ORDERS!L94)</f>
        <v/>
      </c>
      <c r="E94">
        <f>IF(RAW_ORDERS!M94="%",RAW_ORDERS!H94*RAW_ORDERS!N94/100,RAW_ORDERS!N94)</f>
        <v/>
      </c>
      <c r="F94">
        <f>D94-C94</f>
        <v/>
      </c>
      <c r="G94">
        <f>C94-E94</f>
        <v/>
      </c>
      <c r="H94">
        <f>F94+G94</f>
        <v/>
      </c>
    </row>
    <row r="95">
      <c r="A95">
        <f>RAW_ORDERS!A95</f>
        <v/>
      </c>
      <c r="B95">
        <f>RAW_ORDERS!H95</f>
        <v/>
      </c>
      <c r="C95">
        <f>IF(RAW_ORDERS!I95="%",RAW_ORDERS!H95*RAW_ORDERS!J95/100,RAW_ORDERS!J95)</f>
        <v/>
      </c>
      <c r="D95">
        <f>IF(RAW_ORDERS!K95="%",RAW_ORDERS!H95*RAW_ORDERS!L95/100,RAW_ORDERS!L95)</f>
        <v/>
      </c>
      <c r="E95">
        <f>IF(RAW_ORDERS!M95="%",RAW_ORDERS!H95*RAW_ORDERS!N95/100,RAW_ORDERS!N95)</f>
        <v/>
      </c>
      <c r="F95">
        <f>D95-C95</f>
        <v/>
      </c>
      <c r="G95">
        <f>C95-E95</f>
        <v/>
      </c>
      <c r="H95">
        <f>F95+G95</f>
        <v/>
      </c>
    </row>
    <row r="96">
      <c r="A96">
        <f>RAW_ORDERS!A96</f>
        <v/>
      </c>
      <c r="B96">
        <f>RAW_ORDERS!H96</f>
        <v/>
      </c>
      <c r="C96">
        <f>IF(RAW_ORDERS!I96="%",RAW_ORDERS!H96*RAW_ORDERS!J96/100,RAW_ORDERS!J96)</f>
        <v/>
      </c>
      <c r="D96">
        <f>IF(RAW_ORDERS!K96="%",RAW_ORDERS!H96*RAW_ORDERS!L96/100,RAW_ORDERS!L96)</f>
        <v/>
      </c>
      <c r="E96">
        <f>IF(RAW_ORDERS!M96="%",RAW_ORDERS!H96*RAW_ORDERS!N96/100,RAW_ORDERS!N96)</f>
        <v/>
      </c>
      <c r="F96">
        <f>D96-C96</f>
        <v/>
      </c>
      <c r="G96">
        <f>C96-E96</f>
        <v/>
      </c>
      <c r="H96">
        <f>F96+G96</f>
        <v/>
      </c>
    </row>
    <row r="97">
      <c r="A97">
        <f>RAW_ORDERS!A97</f>
        <v/>
      </c>
      <c r="B97">
        <f>RAW_ORDERS!H97</f>
        <v/>
      </c>
      <c r="C97">
        <f>IF(RAW_ORDERS!I97="%",RAW_ORDERS!H97*RAW_ORDERS!J97/100,RAW_ORDERS!J97)</f>
        <v/>
      </c>
      <c r="D97">
        <f>IF(RAW_ORDERS!K97="%",RAW_ORDERS!H97*RAW_ORDERS!L97/100,RAW_ORDERS!L97)</f>
        <v/>
      </c>
      <c r="E97">
        <f>IF(RAW_ORDERS!M97="%",RAW_ORDERS!H97*RAW_ORDERS!N97/100,RAW_ORDERS!N97)</f>
        <v/>
      </c>
      <c r="F97">
        <f>D97-C97</f>
        <v/>
      </c>
      <c r="G97">
        <f>C97-E97</f>
        <v/>
      </c>
      <c r="H97">
        <f>F97+G97</f>
        <v/>
      </c>
    </row>
    <row r="98">
      <c r="A98">
        <f>RAW_ORDERS!A98</f>
        <v/>
      </c>
      <c r="B98">
        <f>RAW_ORDERS!H98</f>
        <v/>
      </c>
      <c r="C98">
        <f>IF(RAW_ORDERS!I98="%",RAW_ORDERS!H98*RAW_ORDERS!J98/100,RAW_ORDERS!J98)</f>
        <v/>
      </c>
      <c r="D98">
        <f>IF(RAW_ORDERS!K98="%",RAW_ORDERS!H98*RAW_ORDERS!L98/100,RAW_ORDERS!L98)</f>
        <v/>
      </c>
      <c r="E98">
        <f>IF(RAW_ORDERS!M98="%",RAW_ORDERS!H98*RAW_ORDERS!N98/100,RAW_ORDERS!N98)</f>
        <v/>
      </c>
      <c r="F98">
        <f>D98-C98</f>
        <v/>
      </c>
      <c r="G98">
        <f>C98-E98</f>
        <v/>
      </c>
      <c r="H98">
        <f>F98+G98</f>
        <v/>
      </c>
    </row>
    <row r="99">
      <c r="A99">
        <f>RAW_ORDERS!A99</f>
        <v/>
      </c>
      <c r="B99">
        <f>RAW_ORDERS!H99</f>
        <v/>
      </c>
      <c r="C99">
        <f>IF(RAW_ORDERS!I99="%",RAW_ORDERS!H99*RAW_ORDERS!J99/100,RAW_ORDERS!J99)</f>
        <v/>
      </c>
      <c r="D99">
        <f>IF(RAW_ORDERS!K99="%",RAW_ORDERS!H99*RAW_ORDERS!L99/100,RAW_ORDERS!L99)</f>
        <v/>
      </c>
      <c r="E99">
        <f>IF(RAW_ORDERS!M99="%",RAW_ORDERS!H99*RAW_ORDERS!N99/100,RAW_ORDERS!N99)</f>
        <v/>
      </c>
      <c r="F99">
        <f>D99-C99</f>
        <v/>
      </c>
      <c r="G99">
        <f>C99-E99</f>
        <v/>
      </c>
      <c r="H99">
        <f>F99+G99</f>
        <v/>
      </c>
    </row>
    <row r="100">
      <c r="A100">
        <f>RAW_ORDERS!A100</f>
        <v/>
      </c>
      <c r="B100">
        <f>RAW_ORDERS!H100</f>
        <v/>
      </c>
      <c r="C100">
        <f>IF(RAW_ORDERS!I100="%",RAW_ORDERS!H100*RAW_ORDERS!J100/100,RAW_ORDERS!J100)</f>
        <v/>
      </c>
      <c r="D100">
        <f>IF(RAW_ORDERS!K100="%",RAW_ORDERS!H100*RAW_ORDERS!L100/100,RAW_ORDERS!L100)</f>
        <v/>
      </c>
      <c r="E100">
        <f>IF(RAW_ORDERS!M100="%",RAW_ORDERS!H100*RAW_ORDERS!N100/100,RAW_ORDERS!N100)</f>
        <v/>
      </c>
      <c r="F100">
        <f>D100-C100</f>
        <v/>
      </c>
      <c r="G100">
        <f>C100-E100</f>
        <v/>
      </c>
      <c r="H100">
        <f>F100+G100</f>
        <v/>
      </c>
    </row>
    <row r="101">
      <c r="A101">
        <f>RAW_ORDERS!A101</f>
        <v/>
      </c>
      <c r="B101">
        <f>RAW_ORDERS!H101</f>
        <v/>
      </c>
      <c r="C101">
        <f>IF(RAW_ORDERS!I101="%",RAW_ORDERS!H101*RAW_ORDERS!J101/100,RAW_ORDERS!J101)</f>
        <v/>
      </c>
      <c r="D101">
        <f>IF(RAW_ORDERS!K101="%",RAW_ORDERS!H101*RAW_ORDERS!L101/100,RAW_ORDERS!L101)</f>
        <v/>
      </c>
      <c r="E101">
        <f>IF(RAW_ORDERS!M101="%",RAW_ORDERS!H101*RAW_ORDERS!N101/100,RAW_ORDERS!N101)</f>
        <v/>
      </c>
      <c r="F101">
        <f>D101-C101</f>
        <v/>
      </c>
      <c r="G101">
        <f>C101-E101</f>
        <v/>
      </c>
      <c r="H101">
        <f>F101+G101</f>
        <v/>
      </c>
    </row>
    <row r="102">
      <c r="A102">
        <f>RAW_ORDERS!A102</f>
        <v/>
      </c>
      <c r="B102">
        <f>RAW_ORDERS!H102</f>
        <v/>
      </c>
      <c r="C102">
        <f>IF(RAW_ORDERS!I102="%",RAW_ORDERS!H102*RAW_ORDERS!J102/100,RAW_ORDERS!J102)</f>
        <v/>
      </c>
      <c r="D102">
        <f>IF(RAW_ORDERS!K102="%",RAW_ORDERS!H102*RAW_ORDERS!L102/100,RAW_ORDERS!L102)</f>
        <v/>
      </c>
      <c r="E102">
        <f>IF(RAW_ORDERS!M102="%",RAW_ORDERS!H102*RAW_ORDERS!N102/100,RAW_ORDERS!N102)</f>
        <v/>
      </c>
      <c r="F102">
        <f>D102-C102</f>
        <v/>
      </c>
      <c r="G102">
        <f>C102-E102</f>
        <v/>
      </c>
      <c r="H102">
        <f>F102+G102</f>
        <v/>
      </c>
    </row>
    <row r="103">
      <c r="A103">
        <f>RAW_ORDERS!A103</f>
        <v/>
      </c>
      <c r="B103">
        <f>RAW_ORDERS!H103</f>
        <v/>
      </c>
      <c r="C103">
        <f>IF(RAW_ORDERS!I103="%",RAW_ORDERS!H103*RAW_ORDERS!J103/100,RAW_ORDERS!J103)</f>
        <v/>
      </c>
      <c r="D103">
        <f>IF(RAW_ORDERS!K103="%",RAW_ORDERS!H103*RAW_ORDERS!L103/100,RAW_ORDERS!L103)</f>
        <v/>
      </c>
      <c r="E103">
        <f>IF(RAW_ORDERS!M103="%",RAW_ORDERS!H103*RAW_ORDERS!N103/100,RAW_ORDERS!N103)</f>
        <v/>
      </c>
      <c r="F103">
        <f>D103-C103</f>
        <v/>
      </c>
      <c r="G103">
        <f>C103-E103</f>
        <v/>
      </c>
      <c r="H103">
        <f>F103+G103</f>
        <v/>
      </c>
    </row>
    <row r="104">
      <c r="A104">
        <f>RAW_ORDERS!A104</f>
        <v/>
      </c>
      <c r="B104">
        <f>RAW_ORDERS!H104</f>
        <v/>
      </c>
      <c r="C104">
        <f>IF(RAW_ORDERS!I104="%",RAW_ORDERS!H104*RAW_ORDERS!J104/100,RAW_ORDERS!J104)</f>
        <v/>
      </c>
      <c r="D104">
        <f>IF(RAW_ORDERS!K104="%",RAW_ORDERS!H104*RAW_ORDERS!L104/100,RAW_ORDERS!L104)</f>
        <v/>
      </c>
      <c r="E104">
        <f>IF(RAW_ORDERS!M104="%",RAW_ORDERS!H104*RAW_ORDERS!N104/100,RAW_ORDERS!N104)</f>
        <v/>
      </c>
      <c r="F104">
        <f>D104-C104</f>
        <v/>
      </c>
      <c r="G104">
        <f>C104-E104</f>
        <v/>
      </c>
      <c r="H104">
        <f>F104+G104</f>
        <v/>
      </c>
    </row>
    <row r="105">
      <c r="A105">
        <f>RAW_ORDERS!A105</f>
        <v/>
      </c>
      <c r="B105">
        <f>RAW_ORDERS!H105</f>
        <v/>
      </c>
      <c r="C105">
        <f>IF(RAW_ORDERS!I105="%",RAW_ORDERS!H105*RAW_ORDERS!J105/100,RAW_ORDERS!J105)</f>
        <v/>
      </c>
      <c r="D105">
        <f>IF(RAW_ORDERS!K105="%",RAW_ORDERS!H105*RAW_ORDERS!L105/100,RAW_ORDERS!L105)</f>
        <v/>
      </c>
      <c r="E105">
        <f>IF(RAW_ORDERS!M105="%",RAW_ORDERS!H105*RAW_ORDERS!N105/100,RAW_ORDERS!N105)</f>
        <v/>
      </c>
      <c r="F105">
        <f>D105-C105</f>
        <v/>
      </c>
      <c r="G105">
        <f>C105-E105</f>
        <v/>
      </c>
      <c r="H105">
        <f>F105+G105</f>
        <v/>
      </c>
    </row>
    <row r="106">
      <c r="A106">
        <f>RAW_ORDERS!A106</f>
        <v/>
      </c>
      <c r="B106">
        <f>RAW_ORDERS!H106</f>
        <v/>
      </c>
      <c r="C106">
        <f>IF(RAW_ORDERS!I106="%",RAW_ORDERS!H106*RAW_ORDERS!J106/100,RAW_ORDERS!J106)</f>
        <v/>
      </c>
      <c r="D106">
        <f>IF(RAW_ORDERS!K106="%",RAW_ORDERS!H106*RAW_ORDERS!L106/100,RAW_ORDERS!L106)</f>
        <v/>
      </c>
      <c r="E106">
        <f>IF(RAW_ORDERS!M106="%",RAW_ORDERS!H106*RAW_ORDERS!N106/100,RAW_ORDERS!N106)</f>
        <v/>
      </c>
      <c r="F106">
        <f>D106-C106</f>
        <v/>
      </c>
      <c r="G106">
        <f>C106-E106</f>
        <v/>
      </c>
      <c r="H106">
        <f>F106+G106</f>
        <v/>
      </c>
    </row>
    <row r="107">
      <c r="A107">
        <f>RAW_ORDERS!A107</f>
        <v/>
      </c>
      <c r="B107">
        <f>RAW_ORDERS!H107</f>
        <v/>
      </c>
      <c r="C107">
        <f>IF(RAW_ORDERS!I107="%",RAW_ORDERS!H107*RAW_ORDERS!J107/100,RAW_ORDERS!J107)</f>
        <v/>
      </c>
      <c r="D107">
        <f>IF(RAW_ORDERS!K107="%",RAW_ORDERS!H107*RAW_ORDERS!L107/100,RAW_ORDERS!L107)</f>
        <v/>
      </c>
      <c r="E107">
        <f>IF(RAW_ORDERS!M107="%",RAW_ORDERS!H107*RAW_ORDERS!N107/100,RAW_ORDERS!N107)</f>
        <v/>
      </c>
      <c r="F107">
        <f>D107-C107</f>
        <v/>
      </c>
      <c r="G107">
        <f>C107-E107</f>
        <v/>
      </c>
      <c r="H107">
        <f>F107+G107</f>
        <v/>
      </c>
    </row>
    <row r="108">
      <c r="A108">
        <f>RAW_ORDERS!A108</f>
        <v/>
      </c>
      <c r="B108">
        <f>RAW_ORDERS!H108</f>
        <v/>
      </c>
      <c r="C108">
        <f>IF(RAW_ORDERS!I108="%",RAW_ORDERS!H108*RAW_ORDERS!J108/100,RAW_ORDERS!J108)</f>
        <v/>
      </c>
      <c r="D108">
        <f>IF(RAW_ORDERS!K108="%",RAW_ORDERS!H108*RAW_ORDERS!L108/100,RAW_ORDERS!L108)</f>
        <v/>
      </c>
      <c r="E108">
        <f>IF(RAW_ORDERS!M108="%",RAW_ORDERS!H108*RAW_ORDERS!N108/100,RAW_ORDERS!N108)</f>
        <v/>
      </c>
      <c r="F108">
        <f>D108-C108</f>
        <v/>
      </c>
      <c r="G108">
        <f>C108-E108</f>
        <v/>
      </c>
      <c r="H108">
        <f>F108+G108</f>
        <v/>
      </c>
    </row>
    <row r="109">
      <c r="A109">
        <f>RAW_ORDERS!A109</f>
        <v/>
      </c>
      <c r="B109">
        <f>RAW_ORDERS!H109</f>
        <v/>
      </c>
      <c r="C109">
        <f>IF(RAW_ORDERS!I109="%",RAW_ORDERS!H109*RAW_ORDERS!J109/100,RAW_ORDERS!J109)</f>
        <v/>
      </c>
      <c r="D109">
        <f>IF(RAW_ORDERS!K109="%",RAW_ORDERS!H109*RAW_ORDERS!L109/100,RAW_ORDERS!L109)</f>
        <v/>
      </c>
      <c r="E109">
        <f>IF(RAW_ORDERS!M109="%",RAW_ORDERS!H109*RAW_ORDERS!N109/100,RAW_ORDERS!N109)</f>
        <v/>
      </c>
      <c r="F109">
        <f>D109-C109</f>
        <v/>
      </c>
      <c r="G109">
        <f>C109-E109</f>
        <v/>
      </c>
      <c r="H109">
        <f>F109+G109</f>
        <v/>
      </c>
    </row>
    <row r="110">
      <c r="A110">
        <f>RAW_ORDERS!A110</f>
        <v/>
      </c>
      <c r="B110">
        <f>RAW_ORDERS!H110</f>
        <v/>
      </c>
      <c r="C110">
        <f>IF(RAW_ORDERS!I110="%",RAW_ORDERS!H110*RAW_ORDERS!J110/100,RAW_ORDERS!J110)</f>
        <v/>
      </c>
      <c r="D110">
        <f>IF(RAW_ORDERS!K110="%",RAW_ORDERS!H110*RAW_ORDERS!L110/100,RAW_ORDERS!L110)</f>
        <v/>
      </c>
      <c r="E110">
        <f>IF(RAW_ORDERS!M110="%",RAW_ORDERS!H110*RAW_ORDERS!N110/100,RAW_ORDERS!N110)</f>
        <v/>
      </c>
      <c r="F110">
        <f>D110-C110</f>
        <v/>
      </c>
      <c r="G110">
        <f>C110-E110</f>
        <v/>
      </c>
      <c r="H110">
        <f>F110+G110</f>
        <v/>
      </c>
    </row>
    <row r="111">
      <c r="A111">
        <f>RAW_ORDERS!A111</f>
        <v/>
      </c>
      <c r="B111">
        <f>RAW_ORDERS!H111</f>
        <v/>
      </c>
      <c r="C111">
        <f>IF(RAW_ORDERS!I111="%",RAW_ORDERS!H111*RAW_ORDERS!J111/100,RAW_ORDERS!J111)</f>
        <v/>
      </c>
      <c r="D111">
        <f>IF(RAW_ORDERS!K111="%",RAW_ORDERS!H111*RAW_ORDERS!L111/100,RAW_ORDERS!L111)</f>
        <v/>
      </c>
      <c r="E111">
        <f>IF(RAW_ORDERS!M111="%",RAW_ORDERS!H111*RAW_ORDERS!N111/100,RAW_ORDERS!N111)</f>
        <v/>
      </c>
      <c r="F111">
        <f>D111-C111</f>
        <v/>
      </c>
      <c r="G111">
        <f>C111-E111</f>
        <v/>
      </c>
      <c r="H111">
        <f>F111+G111</f>
        <v/>
      </c>
    </row>
    <row r="112">
      <c r="A112">
        <f>RAW_ORDERS!A112</f>
        <v/>
      </c>
      <c r="B112">
        <f>RAW_ORDERS!H112</f>
        <v/>
      </c>
      <c r="C112">
        <f>IF(RAW_ORDERS!I112="%",RAW_ORDERS!H112*RAW_ORDERS!J112/100,RAW_ORDERS!J112)</f>
        <v/>
      </c>
      <c r="D112">
        <f>IF(RAW_ORDERS!K112="%",RAW_ORDERS!H112*RAW_ORDERS!L112/100,RAW_ORDERS!L112)</f>
        <v/>
      </c>
      <c r="E112">
        <f>IF(RAW_ORDERS!M112="%",RAW_ORDERS!H112*RAW_ORDERS!N112/100,RAW_ORDERS!N112)</f>
        <v/>
      </c>
      <c r="F112">
        <f>D112-C112</f>
        <v/>
      </c>
      <c r="G112">
        <f>C112-E112</f>
        <v/>
      </c>
      <c r="H112">
        <f>F112+G112</f>
        <v/>
      </c>
    </row>
    <row r="113">
      <c r="A113">
        <f>RAW_ORDERS!A113</f>
        <v/>
      </c>
      <c r="B113">
        <f>RAW_ORDERS!H113</f>
        <v/>
      </c>
      <c r="C113">
        <f>IF(RAW_ORDERS!I113="%",RAW_ORDERS!H113*RAW_ORDERS!J113/100,RAW_ORDERS!J113)</f>
        <v/>
      </c>
      <c r="D113">
        <f>IF(RAW_ORDERS!K113="%",RAW_ORDERS!H113*RAW_ORDERS!L113/100,RAW_ORDERS!L113)</f>
        <v/>
      </c>
      <c r="E113">
        <f>IF(RAW_ORDERS!M113="%",RAW_ORDERS!H113*RAW_ORDERS!N113/100,RAW_ORDERS!N113)</f>
        <v/>
      </c>
      <c r="F113">
        <f>D113-C113</f>
        <v/>
      </c>
      <c r="G113">
        <f>C113-E113</f>
        <v/>
      </c>
      <c r="H113">
        <f>F113+G113</f>
        <v/>
      </c>
    </row>
    <row r="114">
      <c r="A114">
        <f>RAW_ORDERS!A114</f>
        <v/>
      </c>
      <c r="B114">
        <f>RAW_ORDERS!H114</f>
        <v/>
      </c>
      <c r="C114">
        <f>IF(RAW_ORDERS!I114="%",RAW_ORDERS!H114*RAW_ORDERS!J114/100,RAW_ORDERS!J114)</f>
        <v/>
      </c>
      <c r="D114">
        <f>IF(RAW_ORDERS!K114="%",RAW_ORDERS!H114*RAW_ORDERS!L114/100,RAW_ORDERS!L114)</f>
        <v/>
      </c>
      <c r="E114">
        <f>IF(RAW_ORDERS!M114="%",RAW_ORDERS!H114*RAW_ORDERS!N114/100,RAW_ORDERS!N114)</f>
        <v/>
      </c>
      <c r="F114">
        <f>D114-C114</f>
        <v/>
      </c>
      <c r="G114">
        <f>C114-E114</f>
        <v/>
      </c>
      <c r="H114">
        <f>F114+G114</f>
        <v/>
      </c>
    </row>
    <row r="115">
      <c r="A115">
        <f>RAW_ORDERS!A115</f>
        <v/>
      </c>
      <c r="B115">
        <f>RAW_ORDERS!H115</f>
        <v/>
      </c>
      <c r="C115">
        <f>IF(RAW_ORDERS!I115="%",RAW_ORDERS!H115*RAW_ORDERS!J115/100,RAW_ORDERS!J115)</f>
        <v/>
      </c>
      <c r="D115">
        <f>IF(RAW_ORDERS!K115="%",RAW_ORDERS!H115*RAW_ORDERS!L115/100,RAW_ORDERS!L115)</f>
        <v/>
      </c>
      <c r="E115">
        <f>IF(RAW_ORDERS!M115="%",RAW_ORDERS!H115*RAW_ORDERS!N115/100,RAW_ORDERS!N115)</f>
        <v/>
      </c>
      <c r="F115">
        <f>D115-C115</f>
        <v/>
      </c>
      <c r="G115">
        <f>C115-E115</f>
        <v/>
      </c>
      <c r="H115">
        <f>F115+G115</f>
        <v/>
      </c>
    </row>
    <row r="116">
      <c r="A116">
        <f>RAW_ORDERS!A116</f>
        <v/>
      </c>
      <c r="B116">
        <f>RAW_ORDERS!H116</f>
        <v/>
      </c>
      <c r="C116">
        <f>IF(RAW_ORDERS!I116="%",RAW_ORDERS!H116*RAW_ORDERS!J116/100,RAW_ORDERS!J116)</f>
        <v/>
      </c>
      <c r="D116">
        <f>IF(RAW_ORDERS!K116="%",RAW_ORDERS!H116*RAW_ORDERS!L116/100,RAW_ORDERS!L116)</f>
        <v/>
      </c>
      <c r="E116">
        <f>IF(RAW_ORDERS!M116="%",RAW_ORDERS!H116*RAW_ORDERS!N116/100,RAW_ORDERS!N116)</f>
        <v/>
      </c>
      <c r="F116">
        <f>D116-C116</f>
        <v/>
      </c>
      <c r="G116">
        <f>C116-E116</f>
        <v/>
      </c>
      <c r="H116">
        <f>F116+G116</f>
        <v/>
      </c>
    </row>
    <row r="117">
      <c r="A117">
        <f>RAW_ORDERS!A117</f>
        <v/>
      </c>
      <c r="B117">
        <f>RAW_ORDERS!H117</f>
        <v/>
      </c>
      <c r="C117">
        <f>IF(RAW_ORDERS!I117="%",RAW_ORDERS!H117*RAW_ORDERS!J117/100,RAW_ORDERS!J117)</f>
        <v/>
      </c>
      <c r="D117">
        <f>IF(RAW_ORDERS!K117="%",RAW_ORDERS!H117*RAW_ORDERS!L117/100,RAW_ORDERS!L117)</f>
        <v/>
      </c>
      <c r="E117">
        <f>IF(RAW_ORDERS!M117="%",RAW_ORDERS!H117*RAW_ORDERS!N117/100,RAW_ORDERS!N117)</f>
        <v/>
      </c>
      <c r="F117">
        <f>D117-C117</f>
        <v/>
      </c>
      <c r="G117">
        <f>C117-E117</f>
        <v/>
      </c>
      <c r="H117">
        <f>F117+G117</f>
        <v/>
      </c>
    </row>
    <row r="118">
      <c r="A118">
        <f>RAW_ORDERS!A118</f>
        <v/>
      </c>
      <c r="B118">
        <f>RAW_ORDERS!H118</f>
        <v/>
      </c>
      <c r="C118">
        <f>IF(RAW_ORDERS!I118="%",RAW_ORDERS!H118*RAW_ORDERS!J118/100,RAW_ORDERS!J118)</f>
        <v/>
      </c>
      <c r="D118">
        <f>IF(RAW_ORDERS!K118="%",RAW_ORDERS!H118*RAW_ORDERS!L118/100,RAW_ORDERS!L118)</f>
        <v/>
      </c>
      <c r="E118">
        <f>IF(RAW_ORDERS!M118="%",RAW_ORDERS!H118*RAW_ORDERS!N118/100,RAW_ORDERS!N118)</f>
        <v/>
      </c>
      <c r="F118">
        <f>D118-C118</f>
        <v/>
      </c>
      <c r="G118">
        <f>C118-E118</f>
        <v/>
      </c>
      <c r="H118">
        <f>F118+G118</f>
        <v/>
      </c>
    </row>
    <row r="119">
      <c r="A119">
        <f>RAW_ORDERS!A119</f>
        <v/>
      </c>
      <c r="B119">
        <f>RAW_ORDERS!H119</f>
        <v/>
      </c>
      <c r="C119">
        <f>IF(RAW_ORDERS!I119="%",RAW_ORDERS!H119*RAW_ORDERS!J119/100,RAW_ORDERS!J119)</f>
        <v/>
      </c>
      <c r="D119">
        <f>IF(RAW_ORDERS!K119="%",RAW_ORDERS!H119*RAW_ORDERS!L119/100,RAW_ORDERS!L119)</f>
        <v/>
      </c>
      <c r="E119">
        <f>IF(RAW_ORDERS!M119="%",RAW_ORDERS!H119*RAW_ORDERS!N119/100,RAW_ORDERS!N119)</f>
        <v/>
      </c>
      <c r="F119">
        <f>D119-C119</f>
        <v/>
      </c>
      <c r="G119">
        <f>C119-E119</f>
        <v/>
      </c>
      <c r="H119">
        <f>F119+G119</f>
        <v/>
      </c>
    </row>
    <row r="120">
      <c r="A120">
        <f>RAW_ORDERS!A120</f>
        <v/>
      </c>
      <c r="B120">
        <f>RAW_ORDERS!H120</f>
        <v/>
      </c>
      <c r="C120">
        <f>IF(RAW_ORDERS!I120="%",RAW_ORDERS!H120*RAW_ORDERS!J120/100,RAW_ORDERS!J120)</f>
        <v/>
      </c>
      <c r="D120">
        <f>IF(RAW_ORDERS!K120="%",RAW_ORDERS!H120*RAW_ORDERS!L120/100,RAW_ORDERS!L120)</f>
        <v/>
      </c>
      <c r="E120">
        <f>IF(RAW_ORDERS!M120="%",RAW_ORDERS!H120*RAW_ORDERS!N120/100,RAW_ORDERS!N120)</f>
        <v/>
      </c>
      <c r="F120">
        <f>D120-C120</f>
        <v/>
      </c>
      <c r="G120">
        <f>C120-E120</f>
        <v/>
      </c>
      <c r="H120">
        <f>F120+G120</f>
        <v/>
      </c>
    </row>
    <row r="121">
      <c r="A121">
        <f>RAW_ORDERS!A121</f>
        <v/>
      </c>
      <c r="B121">
        <f>RAW_ORDERS!H121</f>
        <v/>
      </c>
      <c r="C121">
        <f>IF(RAW_ORDERS!I121="%",RAW_ORDERS!H121*RAW_ORDERS!J121/100,RAW_ORDERS!J121)</f>
        <v/>
      </c>
      <c r="D121">
        <f>IF(RAW_ORDERS!K121="%",RAW_ORDERS!H121*RAW_ORDERS!L121/100,RAW_ORDERS!L121)</f>
        <v/>
      </c>
      <c r="E121">
        <f>IF(RAW_ORDERS!M121="%",RAW_ORDERS!H121*RAW_ORDERS!N121/100,RAW_ORDERS!N121)</f>
        <v/>
      </c>
      <c r="F121">
        <f>D121-C121</f>
        <v/>
      </c>
      <c r="G121">
        <f>C121-E121</f>
        <v/>
      </c>
      <c r="H121">
        <f>F121+G121</f>
        <v/>
      </c>
    </row>
    <row r="122">
      <c r="A122">
        <f>RAW_ORDERS!A122</f>
        <v/>
      </c>
      <c r="B122">
        <f>RAW_ORDERS!H122</f>
        <v/>
      </c>
      <c r="C122">
        <f>IF(RAW_ORDERS!I122="%",RAW_ORDERS!H122*RAW_ORDERS!J122/100,RAW_ORDERS!J122)</f>
        <v/>
      </c>
      <c r="D122">
        <f>IF(RAW_ORDERS!K122="%",RAW_ORDERS!H122*RAW_ORDERS!L122/100,RAW_ORDERS!L122)</f>
        <v/>
      </c>
      <c r="E122">
        <f>IF(RAW_ORDERS!M122="%",RAW_ORDERS!H122*RAW_ORDERS!N122/100,RAW_ORDERS!N122)</f>
        <v/>
      </c>
      <c r="F122">
        <f>D122-C122</f>
        <v/>
      </c>
      <c r="G122">
        <f>C122-E122</f>
        <v/>
      </c>
      <c r="H122">
        <f>F122+G122</f>
        <v/>
      </c>
    </row>
    <row r="123">
      <c r="A123">
        <f>RAW_ORDERS!A123</f>
        <v/>
      </c>
      <c r="B123">
        <f>RAW_ORDERS!H123</f>
        <v/>
      </c>
      <c r="C123">
        <f>IF(RAW_ORDERS!I123="%",RAW_ORDERS!H123*RAW_ORDERS!J123/100,RAW_ORDERS!J123)</f>
        <v/>
      </c>
      <c r="D123">
        <f>IF(RAW_ORDERS!K123="%",RAW_ORDERS!H123*RAW_ORDERS!L123/100,RAW_ORDERS!L123)</f>
        <v/>
      </c>
      <c r="E123">
        <f>IF(RAW_ORDERS!M123="%",RAW_ORDERS!H123*RAW_ORDERS!N123/100,RAW_ORDERS!N123)</f>
        <v/>
      </c>
      <c r="F123">
        <f>D123-C123</f>
        <v/>
      </c>
      <c r="G123">
        <f>C123-E123</f>
        <v/>
      </c>
      <c r="H123">
        <f>F123+G123</f>
        <v/>
      </c>
    </row>
    <row r="124">
      <c r="A124">
        <f>RAW_ORDERS!A124</f>
        <v/>
      </c>
      <c r="B124">
        <f>RAW_ORDERS!H124</f>
        <v/>
      </c>
      <c r="C124">
        <f>IF(RAW_ORDERS!I124="%",RAW_ORDERS!H124*RAW_ORDERS!J124/100,RAW_ORDERS!J124)</f>
        <v/>
      </c>
      <c r="D124">
        <f>IF(RAW_ORDERS!K124="%",RAW_ORDERS!H124*RAW_ORDERS!L124/100,RAW_ORDERS!L124)</f>
        <v/>
      </c>
      <c r="E124">
        <f>IF(RAW_ORDERS!M124="%",RAW_ORDERS!H124*RAW_ORDERS!N124/100,RAW_ORDERS!N124)</f>
        <v/>
      </c>
      <c r="F124">
        <f>D124-C124</f>
        <v/>
      </c>
      <c r="G124">
        <f>C124-E124</f>
        <v/>
      </c>
      <c r="H124">
        <f>F124+G124</f>
        <v/>
      </c>
    </row>
    <row r="125">
      <c r="A125">
        <f>RAW_ORDERS!A125</f>
        <v/>
      </c>
      <c r="B125">
        <f>RAW_ORDERS!H125</f>
        <v/>
      </c>
      <c r="C125">
        <f>IF(RAW_ORDERS!I125="%",RAW_ORDERS!H125*RAW_ORDERS!J125/100,RAW_ORDERS!J125)</f>
        <v/>
      </c>
      <c r="D125">
        <f>IF(RAW_ORDERS!K125="%",RAW_ORDERS!H125*RAW_ORDERS!L125/100,RAW_ORDERS!L125)</f>
        <v/>
      </c>
      <c r="E125">
        <f>IF(RAW_ORDERS!M125="%",RAW_ORDERS!H125*RAW_ORDERS!N125/100,RAW_ORDERS!N125)</f>
        <v/>
      </c>
      <c r="F125">
        <f>D125-C125</f>
        <v/>
      </c>
      <c r="G125">
        <f>C125-E125</f>
        <v/>
      </c>
      <c r="H125">
        <f>F125+G125</f>
        <v/>
      </c>
    </row>
    <row r="126">
      <c r="A126">
        <f>RAW_ORDERS!A126</f>
        <v/>
      </c>
      <c r="B126">
        <f>RAW_ORDERS!H126</f>
        <v/>
      </c>
      <c r="C126">
        <f>IF(RAW_ORDERS!I126="%",RAW_ORDERS!H126*RAW_ORDERS!J126/100,RAW_ORDERS!J126)</f>
        <v/>
      </c>
      <c r="D126">
        <f>IF(RAW_ORDERS!K126="%",RAW_ORDERS!H126*RAW_ORDERS!L126/100,RAW_ORDERS!L126)</f>
        <v/>
      </c>
      <c r="E126">
        <f>IF(RAW_ORDERS!M126="%",RAW_ORDERS!H126*RAW_ORDERS!N126/100,RAW_ORDERS!N126)</f>
        <v/>
      </c>
      <c r="F126">
        <f>D126-C126</f>
        <v/>
      </c>
      <c r="G126">
        <f>C126-E126</f>
        <v/>
      </c>
      <c r="H126">
        <f>F126+G126</f>
        <v/>
      </c>
    </row>
    <row r="127">
      <c r="A127">
        <f>RAW_ORDERS!A127</f>
        <v/>
      </c>
      <c r="B127">
        <f>RAW_ORDERS!H127</f>
        <v/>
      </c>
      <c r="C127">
        <f>IF(RAW_ORDERS!I127="%",RAW_ORDERS!H127*RAW_ORDERS!J127/100,RAW_ORDERS!J127)</f>
        <v/>
      </c>
      <c r="D127">
        <f>IF(RAW_ORDERS!K127="%",RAW_ORDERS!H127*RAW_ORDERS!L127/100,RAW_ORDERS!L127)</f>
        <v/>
      </c>
      <c r="E127">
        <f>IF(RAW_ORDERS!M127="%",RAW_ORDERS!H127*RAW_ORDERS!N127/100,RAW_ORDERS!N127)</f>
        <v/>
      </c>
      <c r="F127">
        <f>D127-C127</f>
        <v/>
      </c>
      <c r="G127">
        <f>C127-E127</f>
        <v/>
      </c>
      <c r="H127">
        <f>F127+G127</f>
        <v/>
      </c>
    </row>
    <row r="128">
      <c r="A128">
        <f>RAW_ORDERS!A128</f>
        <v/>
      </c>
      <c r="B128">
        <f>RAW_ORDERS!H128</f>
        <v/>
      </c>
      <c r="C128">
        <f>IF(RAW_ORDERS!I128="%",RAW_ORDERS!H128*RAW_ORDERS!J128/100,RAW_ORDERS!J128)</f>
        <v/>
      </c>
      <c r="D128">
        <f>IF(RAW_ORDERS!K128="%",RAW_ORDERS!H128*RAW_ORDERS!L128/100,RAW_ORDERS!L128)</f>
        <v/>
      </c>
      <c r="E128">
        <f>IF(RAW_ORDERS!M128="%",RAW_ORDERS!H128*RAW_ORDERS!N128/100,RAW_ORDERS!N128)</f>
        <v/>
      </c>
      <c r="F128">
        <f>D128-C128</f>
        <v/>
      </c>
      <c r="G128">
        <f>C128-E128</f>
        <v/>
      </c>
      <c r="H128">
        <f>F128+G128</f>
        <v/>
      </c>
    </row>
    <row r="129">
      <c r="A129">
        <f>RAW_ORDERS!A129</f>
        <v/>
      </c>
      <c r="B129">
        <f>RAW_ORDERS!H129</f>
        <v/>
      </c>
      <c r="C129">
        <f>IF(RAW_ORDERS!I129="%",RAW_ORDERS!H129*RAW_ORDERS!J129/100,RAW_ORDERS!J129)</f>
        <v/>
      </c>
      <c r="D129">
        <f>IF(RAW_ORDERS!K129="%",RAW_ORDERS!H129*RAW_ORDERS!L129/100,RAW_ORDERS!L129)</f>
        <v/>
      </c>
      <c r="E129">
        <f>IF(RAW_ORDERS!M129="%",RAW_ORDERS!H129*RAW_ORDERS!N129/100,RAW_ORDERS!N129)</f>
        <v/>
      </c>
      <c r="F129">
        <f>D129-C129</f>
        <v/>
      </c>
      <c r="G129">
        <f>C129-E129</f>
        <v/>
      </c>
      <c r="H129">
        <f>F129+G129</f>
        <v/>
      </c>
    </row>
    <row r="130">
      <c r="A130">
        <f>RAW_ORDERS!A130</f>
        <v/>
      </c>
      <c r="B130">
        <f>RAW_ORDERS!H130</f>
        <v/>
      </c>
      <c r="C130">
        <f>IF(RAW_ORDERS!I130="%",RAW_ORDERS!H130*RAW_ORDERS!J130/100,RAW_ORDERS!J130)</f>
        <v/>
      </c>
      <c r="D130">
        <f>IF(RAW_ORDERS!K130="%",RAW_ORDERS!H130*RAW_ORDERS!L130/100,RAW_ORDERS!L130)</f>
        <v/>
      </c>
      <c r="E130">
        <f>IF(RAW_ORDERS!M130="%",RAW_ORDERS!H130*RAW_ORDERS!N130/100,RAW_ORDERS!N130)</f>
        <v/>
      </c>
      <c r="F130">
        <f>D130-C130</f>
        <v/>
      </c>
      <c r="G130">
        <f>C130-E130</f>
        <v/>
      </c>
      <c r="H130">
        <f>F130+G130</f>
        <v/>
      </c>
    </row>
    <row r="131">
      <c r="A131">
        <f>RAW_ORDERS!A131</f>
        <v/>
      </c>
      <c r="B131">
        <f>RAW_ORDERS!H131</f>
        <v/>
      </c>
      <c r="C131">
        <f>IF(RAW_ORDERS!I131="%",RAW_ORDERS!H131*RAW_ORDERS!J131/100,RAW_ORDERS!J131)</f>
        <v/>
      </c>
      <c r="D131">
        <f>IF(RAW_ORDERS!K131="%",RAW_ORDERS!H131*RAW_ORDERS!L131/100,RAW_ORDERS!L131)</f>
        <v/>
      </c>
      <c r="E131">
        <f>IF(RAW_ORDERS!M131="%",RAW_ORDERS!H131*RAW_ORDERS!N131/100,RAW_ORDERS!N131)</f>
        <v/>
      </c>
      <c r="F131">
        <f>D131-C131</f>
        <v/>
      </c>
      <c r="G131">
        <f>C131-E131</f>
        <v/>
      </c>
      <c r="H131">
        <f>F131+G131</f>
        <v/>
      </c>
    </row>
    <row r="132">
      <c r="A132">
        <f>RAW_ORDERS!A132</f>
        <v/>
      </c>
      <c r="B132">
        <f>RAW_ORDERS!H132</f>
        <v/>
      </c>
      <c r="C132">
        <f>IF(RAW_ORDERS!I132="%",RAW_ORDERS!H132*RAW_ORDERS!J132/100,RAW_ORDERS!J132)</f>
        <v/>
      </c>
      <c r="D132">
        <f>IF(RAW_ORDERS!K132="%",RAW_ORDERS!H132*RAW_ORDERS!L132/100,RAW_ORDERS!L132)</f>
        <v/>
      </c>
      <c r="E132">
        <f>IF(RAW_ORDERS!M132="%",RAW_ORDERS!H132*RAW_ORDERS!N132/100,RAW_ORDERS!N132)</f>
        <v/>
      </c>
      <c r="F132">
        <f>D132-C132</f>
        <v/>
      </c>
      <c r="G132">
        <f>C132-E132</f>
        <v/>
      </c>
      <c r="H132">
        <f>F132+G132</f>
        <v/>
      </c>
    </row>
    <row r="133">
      <c r="A133">
        <f>RAW_ORDERS!A133</f>
        <v/>
      </c>
      <c r="B133">
        <f>RAW_ORDERS!H133</f>
        <v/>
      </c>
      <c r="C133">
        <f>IF(RAW_ORDERS!I133="%",RAW_ORDERS!H133*RAW_ORDERS!J133/100,RAW_ORDERS!J133)</f>
        <v/>
      </c>
      <c r="D133">
        <f>IF(RAW_ORDERS!K133="%",RAW_ORDERS!H133*RAW_ORDERS!L133/100,RAW_ORDERS!L133)</f>
        <v/>
      </c>
      <c r="E133">
        <f>IF(RAW_ORDERS!M133="%",RAW_ORDERS!H133*RAW_ORDERS!N133/100,RAW_ORDERS!N133)</f>
        <v/>
      </c>
      <c r="F133">
        <f>D133-C133</f>
        <v/>
      </c>
      <c r="G133">
        <f>C133-E133</f>
        <v/>
      </c>
      <c r="H133">
        <f>F133+G133</f>
        <v/>
      </c>
    </row>
    <row r="134">
      <c r="A134">
        <f>RAW_ORDERS!A134</f>
        <v/>
      </c>
      <c r="B134">
        <f>RAW_ORDERS!H134</f>
        <v/>
      </c>
      <c r="C134">
        <f>IF(RAW_ORDERS!I134="%",RAW_ORDERS!H134*RAW_ORDERS!J134/100,RAW_ORDERS!J134)</f>
        <v/>
      </c>
      <c r="D134">
        <f>IF(RAW_ORDERS!K134="%",RAW_ORDERS!H134*RAW_ORDERS!L134/100,RAW_ORDERS!L134)</f>
        <v/>
      </c>
      <c r="E134">
        <f>IF(RAW_ORDERS!M134="%",RAW_ORDERS!H134*RAW_ORDERS!N134/100,RAW_ORDERS!N134)</f>
        <v/>
      </c>
      <c r="F134">
        <f>D134-C134</f>
        <v/>
      </c>
      <c r="G134">
        <f>C134-E134</f>
        <v/>
      </c>
      <c r="H134">
        <f>F134+G134</f>
        <v/>
      </c>
    </row>
    <row r="135">
      <c r="A135">
        <f>RAW_ORDERS!A135</f>
        <v/>
      </c>
      <c r="B135">
        <f>RAW_ORDERS!H135</f>
        <v/>
      </c>
      <c r="C135">
        <f>IF(RAW_ORDERS!I135="%",RAW_ORDERS!H135*RAW_ORDERS!J135/100,RAW_ORDERS!J135)</f>
        <v/>
      </c>
      <c r="D135">
        <f>IF(RAW_ORDERS!K135="%",RAW_ORDERS!H135*RAW_ORDERS!L135/100,RAW_ORDERS!L135)</f>
        <v/>
      </c>
      <c r="E135">
        <f>IF(RAW_ORDERS!M135="%",RAW_ORDERS!H135*RAW_ORDERS!N135/100,RAW_ORDERS!N135)</f>
        <v/>
      </c>
      <c r="F135">
        <f>D135-C135</f>
        <v/>
      </c>
      <c r="G135">
        <f>C135-E135</f>
        <v/>
      </c>
      <c r="H135">
        <f>F135+G135</f>
        <v/>
      </c>
    </row>
    <row r="136">
      <c r="A136">
        <f>RAW_ORDERS!A136</f>
        <v/>
      </c>
      <c r="B136">
        <f>RAW_ORDERS!H136</f>
        <v/>
      </c>
      <c r="C136">
        <f>IF(RAW_ORDERS!I136="%",RAW_ORDERS!H136*RAW_ORDERS!J136/100,RAW_ORDERS!J136)</f>
        <v/>
      </c>
      <c r="D136">
        <f>IF(RAW_ORDERS!K136="%",RAW_ORDERS!H136*RAW_ORDERS!L136/100,RAW_ORDERS!L136)</f>
        <v/>
      </c>
      <c r="E136">
        <f>IF(RAW_ORDERS!M136="%",RAW_ORDERS!H136*RAW_ORDERS!N136/100,RAW_ORDERS!N136)</f>
        <v/>
      </c>
      <c r="F136">
        <f>D136-C136</f>
        <v/>
      </c>
      <c r="G136">
        <f>C136-E136</f>
        <v/>
      </c>
      <c r="H136">
        <f>F136+G136</f>
        <v/>
      </c>
    </row>
    <row r="137">
      <c r="A137">
        <f>RAW_ORDERS!A137</f>
        <v/>
      </c>
      <c r="B137">
        <f>RAW_ORDERS!H137</f>
        <v/>
      </c>
      <c r="C137">
        <f>IF(RAW_ORDERS!I137="%",RAW_ORDERS!H137*RAW_ORDERS!J137/100,RAW_ORDERS!J137)</f>
        <v/>
      </c>
      <c r="D137">
        <f>IF(RAW_ORDERS!K137="%",RAW_ORDERS!H137*RAW_ORDERS!L137/100,RAW_ORDERS!L137)</f>
        <v/>
      </c>
      <c r="E137">
        <f>IF(RAW_ORDERS!M137="%",RAW_ORDERS!H137*RAW_ORDERS!N137/100,RAW_ORDERS!N137)</f>
        <v/>
      </c>
      <c r="F137">
        <f>D137-C137</f>
        <v/>
      </c>
      <c r="G137">
        <f>C137-E137</f>
        <v/>
      </c>
      <c r="H137">
        <f>F137+G137</f>
        <v/>
      </c>
    </row>
    <row r="138">
      <c r="A138">
        <f>RAW_ORDERS!A138</f>
        <v/>
      </c>
      <c r="B138">
        <f>RAW_ORDERS!H138</f>
        <v/>
      </c>
      <c r="C138">
        <f>IF(RAW_ORDERS!I138="%",RAW_ORDERS!H138*RAW_ORDERS!J138/100,RAW_ORDERS!J138)</f>
        <v/>
      </c>
      <c r="D138">
        <f>IF(RAW_ORDERS!K138="%",RAW_ORDERS!H138*RAW_ORDERS!L138/100,RAW_ORDERS!L138)</f>
        <v/>
      </c>
      <c r="E138">
        <f>IF(RAW_ORDERS!M138="%",RAW_ORDERS!H138*RAW_ORDERS!N138/100,RAW_ORDERS!N138)</f>
        <v/>
      </c>
      <c r="F138">
        <f>D138-C138</f>
        <v/>
      </c>
      <c r="G138">
        <f>C138-E138</f>
        <v/>
      </c>
      <c r="H138">
        <f>F138+G138</f>
        <v/>
      </c>
    </row>
    <row r="139">
      <c r="A139">
        <f>RAW_ORDERS!A139</f>
        <v/>
      </c>
      <c r="B139">
        <f>RAW_ORDERS!H139</f>
        <v/>
      </c>
      <c r="C139">
        <f>IF(RAW_ORDERS!I139="%",RAW_ORDERS!H139*RAW_ORDERS!J139/100,RAW_ORDERS!J139)</f>
        <v/>
      </c>
      <c r="D139">
        <f>IF(RAW_ORDERS!K139="%",RAW_ORDERS!H139*RAW_ORDERS!L139/100,RAW_ORDERS!L139)</f>
        <v/>
      </c>
      <c r="E139">
        <f>IF(RAW_ORDERS!M139="%",RAW_ORDERS!H139*RAW_ORDERS!N139/100,RAW_ORDERS!N139)</f>
        <v/>
      </c>
      <c r="F139">
        <f>D139-C139</f>
        <v/>
      </c>
      <c r="G139">
        <f>C139-E139</f>
        <v/>
      </c>
      <c r="H139">
        <f>F139+G139</f>
        <v/>
      </c>
    </row>
    <row r="140">
      <c r="A140">
        <f>RAW_ORDERS!A140</f>
        <v/>
      </c>
      <c r="B140">
        <f>RAW_ORDERS!H140</f>
        <v/>
      </c>
      <c r="C140">
        <f>IF(RAW_ORDERS!I140="%",RAW_ORDERS!H140*RAW_ORDERS!J140/100,RAW_ORDERS!J140)</f>
        <v/>
      </c>
      <c r="D140">
        <f>IF(RAW_ORDERS!K140="%",RAW_ORDERS!H140*RAW_ORDERS!L140/100,RAW_ORDERS!L140)</f>
        <v/>
      </c>
      <c r="E140">
        <f>IF(RAW_ORDERS!M140="%",RAW_ORDERS!H140*RAW_ORDERS!N140/100,RAW_ORDERS!N140)</f>
        <v/>
      </c>
      <c r="F140">
        <f>D140-C140</f>
        <v/>
      </c>
      <c r="G140">
        <f>C140-E140</f>
        <v/>
      </c>
      <c r="H140">
        <f>F140+G140</f>
        <v/>
      </c>
    </row>
    <row r="141">
      <c r="A141">
        <f>RAW_ORDERS!A141</f>
        <v/>
      </c>
      <c r="B141">
        <f>RAW_ORDERS!H141</f>
        <v/>
      </c>
      <c r="C141">
        <f>IF(RAW_ORDERS!I141="%",RAW_ORDERS!H141*RAW_ORDERS!J141/100,RAW_ORDERS!J141)</f>
        <v/>
      </c>
      <c r="D141">
        <f>IF(RAW_ORDERS!K141="%",RAW_ORDERS!H141*RAW_ORDERS!L141/100,RAW_ORDERS!L141)</f>
        <v/>
      </c>
      <c r="E141">
        <f>IF(RAW_ORDERS!M141="%",RAW_ORDERS!H141*RAW_ORDERS!N141/100,RAW_ORDERS!N141)</f>
        <v/>
      </c>
      <c r="F141">
        <f>D141-C141</f>
        <v/>
      </c>
      <c r="G141">
        <f>C141-E141</f>
        <v/>
      </c>
      <c r="H141">
        <f>F141+G141</f>
        <v/>
      </c>
    </row>
    <row r="142">
      <c r="A142">
        <f>RAW_ORDERS!A142</f>
        <v/>
      </c>
      <c r="B142">
        <f>RAW_ORDERS!H142</f>
        <v/>
      </c>
      <c r="C142">
        <f>IF(RAW_ORDERS!I142="%",RAW_ORDERS!H142*RAW_ORDERS!J142/100,RAW_ORDERS!J142)</f>
        <v/>
      </c>
      <c r="D142">
        <f>IF(RAW_ORDERS!K142="%",RAW_ORDERS!H142*RAW_ORDERS!L142/100,RAW_ORDERS!L142)</f>
        <v/>
      </c>
      <c r="E142">
        <f>IF(RAW_ORDERS!M142="%",RAW_ORDERS!H142*RAW_ORDERS!N142/100,RAW_ORDERS!N142)</f>
        <v/>
      </c>
      <c r="F142">
        <f>D142-C142</f>
        <v/>
      </c>
      <c r="G142">
        <f>C142-E142</f>
        <v/>
      </c>
      <c r="H142">
        <f>F142+G142</f>
        <v/>
      </c>
    </row>
    <row r="143">
      <c r="A143">
        <f>RAW_ORDERS!A143</f>
        <v/>
      </c>
      <c r="B143">
        <f>RAW_ORDERS!H143</f>
        <v/>
      </c>
      <c r="C143">
        <f>IF(RAW_ORDERS!I143="%",RAW_ORDERS!H143*RAW_ORDERS!J143/100,RAW_ORDERS!J143)</f>
        <v/>
      </c>
      <c r="D143">
        <f>IF(RAW_ORDERS!K143="%",RAW_ORDERS!H143*RAW_ORDERS!L143/100,RAW_ORDERS!L143)</f>
        <v/>
      </c>
      <c r="E143">
        <f>IF(RAW_ORDERS!M143="%",RAW_ORDERS!H143*RAW_ORDERS!N143/100,RAW_ORDERS!N143)</f>
        <v/>
      </c>
      <c r="F143">
        <f>D143-C143</f>
        <v/>
      </c>
      <c r="G143">
        <f>C143-E143</f>
        <v/>
      </c>
      <c r="H143">
        <f>F143+G143</f>
        <v/>
      </c>
    </row>
    <row r="144">
      <c r="A144">
        <f>RAW_ORDERS!A144</f>
        <v/>
      </c>
      <c r="B144">
        <f>RAW_ORDERS!H144</f>
        <v/>
      </c>
      <c r="C144">
        <f>IF(RAW_ORDERS!I144="%",RAW_ORDERS!H144*RAW_ORDERS!J144/100,RAW_ORDERS!J144)</f>
        <v/>
      </c>
      <c r="D144">
        <f>IF(RAW_ORDERS!K144="%",RAW_ORDERS!H144*RAW_ORDERS!L144/100,RAW_ORDERS!L144)</f>
        <v/>
      </c>
      <c r="E144">
        <f>IF(RAW_ORDERS!M144="%",RAW_ORDERS!H144*RAW_ORDERS!N144/100,RAW_ORDERS!N144)</f>
        <v/>
      </c>
      <c r="F144">
        <f>D144-C144</f>
        <v/>
      </c>
      <c r="G144">
        <f>C144-E144</f>
        <v/>
      </c>
      <c r="H144">
        <f>F144+G144</f>
        <v/>
      </c>
    </row>
    <row r="145">
      <c r="A145">
        <f>RAW_ORDERS!A145</f>
        <v/>
      </c>
      <c r="B145">
        <f>RAW_ORDERS!H145</f>
        <v/>
      </c>
      <c r="C145">
        <f>IF(RAW_ORDERS!I145="%",RAW_ORDERS!H145*RAW_ORDERS!J145/100,RAW_ORDERS!J145)</f>
        <v/>
      </c>
      <c r="D145">
        <f>IF(RAW_ORDERS!K145="%",RAW_ORDERS!H145*RAW_ORDERS!L145/100,RAW_ORDERS!L145)</f>
        <v/>
      </c>
      <c r="E145">
        <f>IF(RAW_ORDERS!M145="%",RAW_ORDERS!H145*RAW_ORDERS!N145/100,RAW_ORDERS!N145)</f>
        <v/>
      </c>
      <c r="F145">
        <f>D145-C145</f>
        <v/>
      </c>
      <c r="G145">
        <f>C145-E145</f>
        <v/>
      </c>
      <c r="H145">
        <f>F145+G145</f>
        <v/>
      </c>
    </row>
    <row r="146">
      <c r="A146">
        <f>RAW_ORDERS!A146</f>
        <v/>
      </c>
      <c r="B146">
        <f>RAW_ORDERS!H146</f>
        <v/>
      </c>
      <c r="C146">
        <f>IF(RAW_ORDERS!I146="%",RAW_ORDERS!H146*RAW_ORDERS!J146/100,RAW_ORDERS!J146)</f>
        <v/>
      </c>
      <c r="D146">
        <f>IF(RAW_ORDERS!K146="%",RAW_ORDERS!H146*RAW_ORDERS!L146/100,RAW_ORDERS!L146)</f>
        <v/>
      </c>
      <c r="E146">
        <f>IF(RAW_ORDERS!M146="%",RAW_ORDERS!H146*RAW_ORDERS!N146/100,RAW_ORDERS!N146)</f>
        <v/>
      </c>
      <c r="F146">
        <f>D146-C146</f>
        <v/>
      </c>
      <c r="G146">
        <f>C146-E146</f>
        <v/>
      </c>
      <c r="H146">
        <f>F146+G146</f>
        <v/>
      </c>
    </row>
    <row r="147">
      <c r="A147">
        <f>RAW_ORDERS!A147</f>
        <v/>
      </c>
      <c r="B147">
        <f>RAW_ORDERS!H147</f>
        <v/>
      </c>
      <c r="C147">
        <f>IF(RAW_ORDERS!I147="%",RAW_ORDERS!H147*RAW_ORDERS!J147/100,RAW_ORDERS!J147)</f>
        <v/>
      </c>
      <c r="D147">
        <f>IF(RAW_ORDERS!K147="%",RAW_ORDERS!H147*RAW_ORDERS!L147/100,RAW_ORDERS!L147)</f>
        <v/>
      </c>
      <c r="E147">
        <f>IF(RAW_ORDERS!M147="%",RAW_ORDERS!H147*RAW_ORDERS!N147/100,RAW_ORDERS!N147)</f>
        <v/>
      </c>
      <c r="F147">
        <f>D147-C147</f>
        <v/>
      </c>
      <c r="G147">
        <f>C147-E147</f>
        <v/>
      </c>
      <c r="H147">
        <f>F147+G147</f>
        <v/>
      </c>
    </row>
    <row r="148">
      <c r="A148">
        <f>RAW_ORDERS!A148</f>
        <v/>
      </c>
      <c r="B148">
        <f>RAW_ORDERS!H148</f>
        <v/>
      </c>
      <c r="C148">
        <f>IF(RAW_ORDERS!I148="%",RAW_ORDERS!H148*RAW_ORDERS!J148/100,RAW_ORDERS!J148)</f>
        <v/>
      </c>
      <c r="D148">
        <f>IF(RAW_ORDERS!K148="%",RAW_ORDERS!H148*RAW_ORDERS!L148/100,RAW_ORDERS!L148)</f>
        <v/>
      </c>
      <c r="E148">
        <f>IF(RAW_ORDERS!M148="%",RAW_ORDERS!H148*RAW_ORDERS!N148/100,RAW_ORDERS!N148)</f>
        <v/>
      </c>
      <c r="F148">
        <f>D148-C148</f>
        <v/>
      </c>
      <c r="G148">
        <f>C148-E148</f>
        <v/>
      </c>
      <c r="H148">
        <f>F148+G148</f>
        <v/>
      </c>
    </row>
    <row r="149">
      <c r="A149">
        <f>RAW_ORDERS!A149</f>
        <v/>
      </c>
      <c r="B149">
        <f>RAW_ORDERS!H149</f>
        <v/>
      </c>
      <c r="C149">
        <f>IF(RAW_ORDERS!I149="%",RAW_ORDERS!H149*RAW_ORDERS!J149/100,RAW_ORDERS!J149)</f>
        <v/>
      </c>
      <c r="D149">
        <f>IF(RAW_ORDERS!K149="%",RAW_ORDERS!H149*RAW_ORDERS!L149/100,RAW_ORDERS!L149)</f>
        <v/>
      </c>
      <c r="E149">
        <f>IF(RAW_ORDERS!M149="%",RAW_ORDERS!H149*RAW_ORDERS!N149/100,RAW_ORDERS!N149)</f>
        <v/>
      </c>
      <c r="F149">
        <f>D149-C149</f>
        <v/>
      </c>
      <c r="G149">
        <f>C149-E149</f>
        <v/>
      </c>
      <c r="H149">
        <f>F149+G149</f>
        <v/>
      </c>
    </row>
    <row r="150">
      <c r="A150">
        <f>RAW_ORDERS!A150</f>
        <v/>
      </c>
      <c r="B150">
        <f>RAW_ORDERS!H150</f>
        <v/>
      </c>
      <c r="C150">
        <f>IF(RAW_ORDERS!I150="%",RAW_ORDERS!H150*RAW_ORDERS!J150/100,RAW_ORDERS!J150)</f>
        <v/>
      </c>
      <c r="D150">
        <f>IF(RAW_ORDERS!K150="%",RAW_ORDERS!H150*RAW_ORDERS!L150/100,RAW_ORDERS!L150)</f>
        <v/>
      </c>
      <c r="E150">
        <f>IF(RAW_ORDERS!M150="%",RAW_ORDERS!H150*RAW_ORDERS!N150/100,RAW_ORDERS!N150)</f>
        <v/>
      </c>
      <c r="F150">
        <f>D150-C150</f>
        <v/>
      </c>
      <c r="G150">
        <f>C150-E150</f>
        <v/>
      </c>
      <c r="H150">
        <f>F150+G150</f>
        <v/>
      </c>
    </row>
    <row r="151">
      <c r="A151">
        <f>RAW_ORDERS!A151</f>
        <v/>
      </c>
      <c r="B151">
        <f>RAW_ORDERS!H151</f>
        <v/>
      </c>
      <c r="C151">
        <f>IF(RAW_ORDERS!I151="%",RAW_ORDERS!H151*RAW_ORDERS!J151/100,RAW_ORDERS!J151)</f>
        <v/>
      </c>
      <c r="D151">
        <f>IF(RAW_ORDERS!K151="%",RAW_ORDERS!H151*RAW_ORDERS!L151/100,RAW_ORDERS!L151)</f>
        <v/>
      </c>
      <c r="E151">
        <f>IF(RAW_ORDERS!M151="%",RAW_ORDERS!H151*RAW_ORDERS!N151/100,RAW_ORDERS!N151)</f>
        <v/>
      </c>
      <c r="F151">
        <f>D151-C151</f>
        <v/>
      </c>
      <c r="G151">
        <f>C151-E151</f>
        <v/>
      </c>
      <c r="H151">
        <f>F151+G151</f>
        <v/>
      </c>
    </row>
    <row r="152">
      <c r="A152">
        <f>RAW_ORDERS!A152</f>
        <v/>
      </c>
      <c r="B152">
        <f>RAW_ORDERS!H152</f>
        <v/>
      </c>
      <c r="C152">
        <f>IF(RAW_ORDERS!I152="%",RAW_ORDERS!H152*RAW_ORDERS!J152/100,RAW_ORDERS!J152)</f>
        <v/>
      </c>
      <c r="D152">
        <f>IF(RAW_ORDERS!K152="%",RAW_ORDERS!H152*RAW_ORDERS!L152/100,RAW_ORDERS!L152)</f>
        <v/>
      </c>
      <c r="E152">
        <f>IF(RAW_ORDERS!M152="%",RAW_ORDERS!H152*RAW_ORDERS!N152/100,RAW_ORDERS!N152)</f>
        <v/>
      </c>
      <c r="F152">
        <f>D152-C152</f>
        <v/>
      </c>
      <c r="G152">
        <f>C152-E152</f>
        <v/>
      </c>
      <c r="H152">
        <f>F152+G152</f>
        <v/>
      </c>
    </row>
    <row r="153">
      <c r="A153">
        <f>RAW_ORDERS!A153</f>
        <v/>
      </c>
      <c r="B153">
        <f>RAW_ORDERS!H153</f>
        <v/>
      </c>
      <c r="C153">
        <f>IF(RAW_ORDERS!I153="%",RAW_ORDERS!H153*RAW_ORDERS!J153/100,RAW_ORDERS!J153)</f>
        <v/>
      </c>
      <c r="D153">
        <f>IF(RAW_ORDERS!K153="%",RAW_ORDERS!H153*RAW_ORDERS!L153/100,RAW_ORDERS!L153)</f>
        <v/>
      </c>
      <c r="E153">
        <f>IF(RAW_ORDERS!M153="%",RAW_ORDERS!H153*RAW_ORDERS!N153/100,RAW_ORDERS!N153)</f>
        <v/>
      </c>
      <c r="F153">
        <f>D153-C153</f>
        <v/>
      </c>
      <c r="G153">
        <f>C153-E153</f>
        <v/>
      </c>
      <c r="H153">
        <f>F153+G153</f>
        <v/>
      </c>
    </row>
    <row r="154">
      <c r="A154">
        <f>RAW_ORDERS!A154</f>
        <v/>
      </c>
      <c r="B154">
        <f>RAW_ORDERS!H154</f>
        <v/>
      </c>
      <c r="C154">
        <f>IF(RAW_ORDERS!I154="%",RAW_ORDERS!H154*RAW_ORDERS!J154/100,RAW_ORDERS!J154)</f>
        <v/>
      </c>
      <c r="D154">
        <f>IF(RAW_ORDERS!K154="%",RAW_ORDERS!H154*RAW_ORDERS!L154/100,RAW_ORDERS!L154)</f>
        <v/>
      </c>
      <c r="E154">
        <f>IF(RAW_ORDERS!M154="%",RAW_ORDERS!H154*RAW_ORDERS!N154/100,RAW_ORDERS!N154)</f>
        <v/>
      </c>
      <c r="F154">
        <f>D154-C154</f>
        <v/>
      </c>
      <c r="G154">
        <f>C154-E154</f>
        <v/>
      </c>
      <c r="H154">
        <f>F154+G154</f>
        <v/>
      </c>
    </row>
    <row r="155">
      <c r="A155">
        <f>RAW_ORDERS!A155</f>
        <v/>
      </c>
      <c r="B155">
        <f>RAW_ORDERS!H155</f>
        <v/>
      </c>
      <c r="C155">
        <f>IF(RAW_ORDERS!I155="%",RAW_ORDERS!H155*RAW_ORDERS!J155/100,RAW_ORDERS!J155)</f>
        <v/>
      </c>
      <c r="D155">
        <f>IF(RAW_ORDERS!K155="%",RAW_ORDERS!H155*RAW_ORDERS!L155/100,RAW_ORDERS!L155)</f>
        <v/>
      </c>
      <c r="E155">
        <f>IF(RAW_ORDERS!M155="%",RAW_ORDERS!H155*RAW_ORDERS!N155/100,RAW_ORDERS!N155)</f>
        <v/>
      </c>
      <c r="F155">
        <f>D155-C155</f>
        <v/>
      </c>
      <c r="G155">
        <f>C155-E155</f>
        <v/>
      </c>
      <c r="H155">
        <f>F155+G155</f>
        <v/>
      </c>
    </row>
    <row r="156">
      <c r="A156">
        <f>RAW_ORDERS!A156</f>
        <v/>
      </c>
      <c r="B156">
        <f>RAW_ORDERS!H156</f>
        <v/>
      </c>
      <c r="C156">
        <f>IF(RAW_ORDERS!I156="%",RAW_ORDERS!H156*RAW_ORDERS!J156/100,RAW_ORDERS!J156)</f>
        <v/>
      </c>
      <c r="D156">
        <f>IF(RAW_ORDERS!K156="%",RAW_ORDERS!H156*RAW_ORDERS!L156/100,RAW_ORDERS!L156)</f>
        <v/>
      </c>
      <c r="E156">
        <f>IF(RAW_ORDERS!M156="%",RAW_ORDERS!H156*RAW_ORDERS!N156/100,RAW_ORDERS!N156)</f>
        <v/>
      </c>
      <c r="F156">
        <f>D156-C156</f>
        <v/>
      </c>
      <c r="G156">
        <f>C156-E156</f>
        <v/>
      </c>
      <c r="H156">
        <f>F156+G156</f>
        <v/>
      </c>
    </row>
    <row r="157">
      <c r="A157">
        <f>RAW_ORDERS!A157</f>
        <v/>
      </c>
      <c r="B157">
        <f>RAW_ORDERS!H157</f>
        <v/>
      </c>
      <c r="C157">
        <f>IF(RAW_ORDERS!I157="%",RAW_ORDERS!H157*RAW_ORDERS!J157/100,RAW_ORDERS!J157)</f>
        <v/>
      </c>
      <c r="D157">
        <f>IF(RAW_ORDERS!K157="%",RAW_ORDERS!H157*RAW_ORDERS!L157/100,RAW_ORDERS!L157)</f>
        <v/>
      </c>
      <c r="E157">
        <f>IF(RAW_ORDERS!M157="%",RAW_ORDERS!H157*RAW_ORDERS!N157/100,RAW_ORDERS!N157)</f>
        <v/>
      </c>
      <c r="F157">
        <f>D157-C157</f>
        <v/>
      </c>
      <c r="G157">
        <f>C157-E157</f>
        <v/>
      </c>
      <c r="H157">
        <f>F157+G157</f>
        <v/>
      </c>
    </row>
    <row r="158">
      <c r="A158">
        <f>RAW_ORDERS!A158</f>
        <v/>
      </c>
      <c r="B158">
        <f>RAW_ORDERS!H158</f>
        <v/>
      </c>
      <c r="C158">
        <f>IF(RAW_ORDERS!I158="%",RAW_ORDERS!H158*RAW_ORDERS!J158/100,RAW_ORDERS!J158)</f>
        <v/>
      </c>
      <c r="D158">
        <f>IF(RAW_ORDERS!K158="%",RAW_ORDERS!H158*RAW_ORDERS!L158/100,RAW_ORDERS!L158)</f>
        <v/>
      </c>
      <c r="E158">
        <f>IF(RAW_ORDERS!M158="%",RAW_ORDERS!H158*RAW_ORDERS!N158/100,RAW_ORDERS!N158)</f>
        <v/>
      </c>
      <c r="F158">
        <f>D158-C158</f>
        <v/>
      </c>
      <c r="G158">
        <f>C158-E158</f>
        <v/>
      </c>
      <c r="H158">
        <f>F158+G158</f>
        <v/>
      </c>
    </row>
    <row r="159">
      <c r="A159">
        <f>RAW_ORDERS!A159</f>
        <v/>
      </c>
      <c r="B159">
        <f>RAW_ORDERS!H159</f>
        <v/>
      </c>
      <c r="C159">
        <f>IF(RAW_ORDERS!I159="%",RAW_ORDERS!H159*RAW_ORDERS!J159/100,RAW_ORDERS!J159)</f>
        <v/>
      </c>
      <c r="D159">
        <f>IF(RAW_ORDERS!K159="%",RAW_ORDERS!H159*RAW_ORDERS!L159/100,RAW_ORDERS!L159)</f>
        <v/>
      </c>
      <c r="E159">
        <f>IF(RAW_ORDERS!M159="%",RAW_ORDERS!H159*RAW_ORDERS!N159/100,RAW_ORDERS!N159)</f>
        <v/>
      </c>
      <c r="F159">
        <f>D159-C159</f>
        <v/>
      </c>
      <c r="G159">
        <f>C159-E159</f>
        <v/>
      </c>
      <c r="H159">
        <f>F159+G159</f>
        <v/>
      </c>
    </row>
    <row r="160">
      <c r="A160">
        <f>RAW_ORDERS!A160</f>
        <v/>
      </c>
      <c r="B160">
        <f>RAW_ORDERS!H160</f>
        <v/>
      </c>
      <c r="C160">
        <f>IF(RAW_ORDERS!I160="%",RAW_ORDERS!H160*RAW_ORDERS!J160/100,RAW_ORDERS!J160)</f>
        <v/>
      </c>
      <c r="D160">
        <f>IF(RAW_ORDERS!K160="%",RAW_ORDERS!H160*RAW_ORDERS!L160/100,RAW_ORDERS!L160)</f>
        <v/>
      </c>
      <c r="E160">
        <f>IF(RAW_ORDERS!M160="%",RAW_ORDERS!H160*RAW_ORDERS!N160/100,RAW_ORDERS!N160)</f>
        <v/>
      </c>
      <c r="F160">
        <f>D160-C160</f>
        <v/>
      </c>
      <c r="G160">
        <f>C160-E160</f>
        <v/>
      </c>
      <c r="H160">
        <f>F160+G160</f>
        <v/>
      </c>
    </row>
    <row r="161">
      <c r="A161">
        <f>RAW_ORDERS!A161</f>
        <v/>
      </c>
      <c r="B161">
        <f>RAW_ORDERS!H161</f>
        <v/>
      </c>
      <c r="C161">
        <f>IF(RAW_ORDERS!I161="%",RAW_ORDERS!H161*RAW_ORDERS!J161/100,RAW_ORDERS!J161)</f>
        <v/>
      </c>
      <c r="D161">
        <f>IF(RAW_ORDERS!K161="%",RAW_ORDERS!H161*RAW_ORDERS!L161/100,RAW_ORDERS!L161)</f>
        <v/>
      </c>
      <c r="E161">
        <f>IF(RAW_ORDERS!M161="%",RAW_ORDERS!H161*RAW_ORDERS!N161/100,RAW_ORDERS!N161)</f>
        <v/>
      </c>
      <c r="F161">
        <f>D161-C161</f>
        <v/>
      </c>
      <c r="G161">
        <f>C161-E161</f>
        <v/>
      </c>
      <c r="H161">
        <f>F161+G161</f>
        <v/>
      </c>
    </row>
    <row r="162">
      <c r="A162">
        <f>RAW_ORDERS!A162</f>
        <v/>
      </c>
      <c r="B162">
        <f>RAW_ORDERS!H162</f>
        <v/>
      </c>
      <c r="C162">
        <f>IF(RAW_ORDERS!I162="%",RAW_ORDERS!H162*RAW_ORDERS!J162/100,RAW_ORDERS!J162)</f>
        <v/>
      </c>
      <c r="D162">
        <f>IF(RAW_ORDERS!K162="%",RAW_ORDERS!H162*RAW_ORDERS!L162/100,RAW_ORDERS!L162)</f>
        <v/>
      </c>
      <c r="E162">
        <f>IF(RAW_ORDERS!M162="%",RAW_ORDERS!H162*RAW_ORDERS!N162/100,RAW_ORDERS!N162)</f>
        <v/>
      </c>
      <c r="F162">
        <f>D162-C162</f>
        <v/>
      </c>
      <c r="G162">
        <f>C162-E162</f>
        <v/>
      </c>
      <c r="H162">
        <f>F162+G162</f>
        <v/>
      </c>
    </row>
    <row r="163">
      <c r="A163">
        <f>RAW_ORDERS!A163</f>
        <v/>
      </c>
      <c r="B163">
        <f>RAW_ORDERS!H163</f>
        <v/>
      </c>
      <c r="C163">
        <f>IF(RAW_ORDERS!I163="%",RAW_ORDERS!H163*RAW_ORDERS!J163/100,RAW_ORDERS!J163)</f>
        <v/>
      </c>
      <c r="D163">
        <f>IF(RAW_ORDERS!K163="%",RAW_ORDERS!H163*RAW_ORDERS!L163/100,RAW_ORDERS!L163)</f>
        <v/>
      </c>
      <c r="E163">
        <f>IF(RAW_ORDERS!M163="%",RAW_ORDERS!H163*RAW_ORDERS!N163/100,RAW_ORDERS!N163)</f>
        <v/>
      </c>
      <c r="F163">
        <f>D163-C163</f>
        <v/>
      </c>
      <c r="G163">
        <f>C163-E163</f>
        <v/>
      </c>
      <c r="H163">
        <f>F163+G163</f>
        <v/>
      </c>
    </row>
    <row r="164">
      <c r="A164">
        <f>RAW_ORDERS!A164</f>
        <v/>
      </c>
      <c r="B164">
        <f>RAW_ORDERS!H164</f>
        <v/>
      </c>
      <c r="C164">
        <f>IF(RAW_ORDERS!I164="%",RAW_ORDERS!H164*RAW_ORDERS!J164/100,RAW_ORDERS!J164)</f>
        <v/>
      </c>
      <c r="D164">
        <f>IF(RAW_ORDERS!K164="%",RAW_ORDERS!H164*RAW_ORDERS!L164/100,RAW_ORDERS!L164)</f>
        <v/>
      </c>
      <c r="E164">
        <f>IF(RAW_ORDERS!M164="%",RAW_ORDERS!H164*RAW_ORDERS!N164/100,RAW_ORDERS!N164)</f>
        <v/>
      </c>
      <c r="F164">
        <f>D164-C164</f>
        <v/>
      </c>
      <c r="G164">
        <f>C164-E164</f>
        <v/>
      </c>
      <c r="H164">
        <f>F164+G164</f>
        <v/>
      </c>
    </row>
    <row r="165">
      <c r="A165">
        <f>RAW_ORDERS!A165</f>
        <v/>
      </c>
      <c r="B165">
        <f>RAW_ORDERS!H165</f>
        <v/>
      </c>
      <c r="C165">
        <f>IF(RAW_ORDERS!I165="%",RAW_ORDERS!H165*RAW_ORDERS!J165/100,RAW_ORDERS!J165)</f>
        <v/>
      </c>
      <c r="D165">
        <f>IF(RAW_ORDERS!K165="%",RAW_ORDERS!H165*RAW_ORDERS!L165/100,RAW_ORDERS!L165)</f>
        <v/>
      </c>
      <c r="E165">
        <f>IF(RAW_ORDERS!M165="%",RAW_ORDERS!H165*RAW_ORDERS!N165/100,RAW_ORDERS!N165)</f>
        <v/>
      </c>
      <c r="F165">
        <f>D165-C165</f>
        <v/>
      </c>
      <c r="G165">
        <f>C165-E165</f>
        <v/>
      </c>
      <c r="H165">
        <f>F165+G165</f>
        <v/>
      </c>
    </row>
    <row r="166">
      <c r="A166">
        <f>RAW_ORDERS!A166</f>
        <v/>
      </c>
      <c r="B166">
        <f>RAW_ORDERS!H166</f>
        <v/>
      </c>
      <c r="C166">
        <f>IF(RAW_ORDERS!I166="%",RAW_ORDERS!H166*RAW_ORDERS!J166/100,RAW_ORDERS!J166)</f>
        <v/>
      </c>
      <c r="D166">
        <f>IF(RAW_ORDERS!K166="%",RAW_ORDERS!H166*RAW_ORDERS!L166/100,RAW_ORDERS!L166)</f>
        <v/>
      </c>
      <c r="E166">
        <f>IF(RAW_ORDERS!M166="%",RAW_ORDERS!H166*RAW_ORDERS!N166/100,RAW_ORDERS!N166)</f>
        <v/>
      </c>
      <c r="F166">
        <f>D166-C166</f>
        <v/>
      </c>
      <c r="G166">
        <f>C166-E166</f>
        <v/>
      </c>
      <c r="H166">
        <f>F166+G166</f>
        <v/>
      </c>
    </row>
    <row r="167">
      <c r="A167">
        <f>RAW_ORDERS!A167</f>
        <v/>
      </c>
      <c r="B167">
        <f>RAW_ORDERS!H167</f>
        <v/>
      </c>
      <c r="C167">
        <f>IF(RAW_ORDERS!I167="%",RAW_ORDERS!H167*RAW_ORDERS!J167/100,RAW_ORDERS!J167)</f>
        <v/>
      </c>
      <c r="D167">
        <f>IF(RAW_ORDERS!K167="%",RAW_ORDERS!H167*RAW_ORDERS!L167/100,RAW_ORDERS!L167)</f>
        <v/>
      </c>
      <c r="E167">
        <f>IF(RAW_ORDERS!M167="%",RAW_ORDERS!H167*RAW_ORDERS!N167/100,RAW_ORDERS!N167)</f>
        <v/>
      </c>
      <c r="F167">
        <f>D167-C167</f>
        <v/>
      </c>
      <c r="G167">
        <f>C167-E167</f>
        <v/>
      </c>
      <c r="H167">
        <f>F167+G167</f>
        <v/>
      </c>
    </row>
    <row r="168">
      <c r="A168">
        <f>RAW_ORDERS!A168</f>
        <v/>
      </c>
      <c r="B168">
        <f>RAW_ORDERS!H168</f>
        <v/>
      </c>
      <c r="C168">
        <f>IF(RAW_ORDERS!I168="%",RAW_ORDERS!H168*RAW_ORDERS!J168/100,RAW_ORDERS!J168)</f>
        <v/>
      </c>
      <c r="D168">
        <f>IF(RAW_ORDERS!K168="%",RAW_ORDERS!H168*RAW_ORDERS!L168/100,RAW_ORDERS!L168)</f>
        <v/>
      </c>
      <c r="E168">
        <f>IF(RAW_ORDERS!M168="%",RAW_ORDERS!H168*RAW_ORDERS!N168/100,RAW_ORDERS!N168)</f>
        <v/>
      </c>
      <c r="F168">
        <f>D168-C168</f>
        <v/>
      </c>
      <c r="G168">
        <f>C168-E168</f>
        <v/>
      </c>
      <c r="H168">
        <f>F168+G168</f>
        <v/>
      </c>
    </row>
    <row r="169">
      <c r="A169">
        <f>RAW_ORDERS!A169</f>
        <v/>
      </c>
      <c r="B169">
        <f>RAW_ORDERS!H169</f>
        <v/>
      </c>
      <c r="C169">
        <f>IF(RAW_ORDERS!I169="%",RAW_ORDERS!H169*RAW_ORDERS!J169/100,RAW_ORDERS!J169)</f>
        <v/>
      </c>
      <c r="D169">
        <f>IF(RAW_ORDERS!K169="%",RAW_ORDERS!H169*RAW_ORDERS!L169/100,RAW_ORDERS!L169)</f>
        <v/>
      </c>
      <c r="E169">
        <f>IF(RAW_ORDERS!M169="%",RAW_ORDERS!H169*RAW_ORDERS!N169/100,RAW_ORDERS!N169)</f>
        <v/>
      </c>
      <c r="F169">
        <f>D169-C169</f>
        <v/>
      </c>
      <c r="G169">
        <f>C169-E169</f>
        <v/>
      </c>
      <c r="H169">
        <f>F169+G169</f>
        <v/>
      </c>
    </row>
    <row r="170">
      <c r="A170">
        <f>RAW_ORDERS!A170</f>
        <v/>
      </c>
      <c r="B170">
        <f>RAW_ORDERS!H170</f>
        <v/>
      </c>
      <c r="C170">
        <f>IF(RAW_ORDERS!I170="%",RAW_ORDERS!H170*RAW_ORDERS!J170/100,RAW_ORDERS!J170)</f>
        <v/>
      </c>
      <c r="D170">
        <f>IF(RAW_ORDERS!K170="%",RAW_ORDERS!H170*RAW_ORDERS!L170/100,RAW_ORDERS!L170)</f>
        <v/>
      </c>
      <c r="E170">
        <f>IF(RAW_ORDERS!M170="%",RAW_ORDERS!H170*RAW_ORDERS!N170/100,RAW_ORDERS!N170)</f>
        <v/>
      </c>
      <c r="F170">
        <f>D170-C170</f>
        <v/>
      </c>
      <c r="G170">
        <f>C170-E170</f>
        <v/>
      </c>
      <c r="H170">
        <f>F170+G170</f>
        <v/>
      </c>
    </row>
    <row r="171">
      <c r="A171">
        <f>RAW_ORDERS!A171</f>
        <v/>
      </c>
      <c r="B171">
        <f>RAW_ORDERS!H171</f>
        <v/>
      </c>
      <c r="C171">
        <f>IF(RAW_ORDERS!I171="%",RAW_ORDERS!H171*RAW_ORDERS!J171/100,RAW_ORDERS!J171)</f>
        <v/>
      </c>
      <c r="D171">
        <f>IF(RAW_ORDERS!K171="%",RAW_ORDERS!H171*RAW_ORDERS!L171/100,RAW_ORDERS!L171)</f>
        <v/>
      </c>
      <c r="E171">
        <f>IF(RAW_ORDERS!M171="%",RAW_ORDERS!H171*RAW_ORDERS!N171/100,RAW_ORDERS!N171)</f>
        <v/>
      </c>
      <c r="F171">
        <f>D171-C171</f>
        <v/>
      </c>
      <c r="G171">
        <f>C171-E171</f>
        <v/>
      </c>
      <c r="H171">
        <f>F171+G171</f>
        <v/>
      </c>
    </row>
    <row r="172">
      <c r="A172">
        <f>RAW_ORDERS!A172</f>
        <v/>
      </c>
      <c r="B172">
        <f>RAW_ORDERS!H172</f>
        <v/>
      </c>
      <c r="C172">
        <f>IF(RAW_ORDERS!I172="%",RAW_ORDERS!H172*RAW_ORDERS!J172/100,RAW_ORDERS!J172)</f>
        <v/>
      </c>
      <c r="D172">
        <f>IF(RAW_ORDERS!K172="%",RAW_ORDERS!H172*RAW_ORDERS!L172/100,RAW_ORDERS!L172)</f>
        <v/>
      </c>
      <c r="E172">
        <f>IF(RAW_ORDERS!M172="%",RAW_ORDERS!H172*RAW_ORDERS!N172/100,RAW_ORDERS!N172)</f>
        <v/>
      </c>
      <c r="F172">
        <f>D172-C172</f>
        <v/>
      </c>
      <c r="G172">
        <f>C172-E172</f>
        <v/>
      </c>
      <c r="H172">
        <f>F172+G172</f>
        <v/>
      </c>
    </row>
    <row r="173">
      <c r="A173">
        <f>RAW_ORDERS!A173</f>
        <v/>
      </c>
      <c r="B173">
        <f>RAW_ORDERS!H173</f>
        <v/>
      </c>
      <c r="C173">
        <f>IF(RAW_ORDERS!I173="%",RAW_ORDERS!H173*RAW_ORDERS!J173/100,RAW_ORDERS!J173)</f>
        <v/>
      </c>
      <c r="D173">
        <f>IF(RAW_ORDERS!K173="%",RAW_ORDERS!H173*RAW_ORDERS!L173/100,RAW_ORDERS!L173)</f>
        <v/>
      </c>
      <c r="E173">
        <f>IF(RAW_ORDERS!M173="%",RAW_ORDERS!H173*RAW_ORDERS!N173/100,RAW_ORDERS!N173)</f>
        <v/>
      </c>
      <c r="F173">
        <f>D173-C173</f>
        <v/>
      </c>
      <c r="G173">
        <f>C173-E173</f>
        <v/>
      </c>
      <c r="H173">
        <f>F173+G173</f>
        <v/>
      </c>
    </row>
    <row r="174">
      <c r="A174">
        <f>RAW_ORDERS!A174</f>
        <v/>
      </c>
      <c r="B174">
        <f>RAW_ORDERS!H174</f>
        <v/>
      </c>
      <c r="C174">
        <f>IF(RAW_ORDERS!I174="%",RAW_ORDERS!H174*RAW_ORDERS!J174/100,RAW_ORDERS!J174)</f>
        <v/>
      </c>
      <c r="D174">
        <f>IF(RAW_ORDERS!K174="%",RAW_ORDERS!H174*RAW_ORDERS!L174/100,RAW_ORDERS!L174)</f>
        <v/>
      </c>
      <c r="E174">
        <f>IF(RAW_ORDERS!M174="%",RAW_ORDERS!H174*RAW_ORDERS!N174/100,RAW_ORDERS!N174)</f>
        <v/>
      </c>
      <c r="F174">
        <f>D174-C174</f>
        <v/>
      </c>
      <c r="G174">
        <f>C174-E174</f>
        <v/>
      </c>
      <c r="H174">
        <f>F174+G174</f>
        <v/>
      </c>
    </row>
    <row r="175">
      <c r="A175">
        <f>RAW_ORDERS!A175</f>
        <v/>
      </c>
      <c r="B175">
        <f>RAW_ORDERS!H175</f>
        <v/>
      </c>
      <c r="C175">
        <f>IF(RAW_ORDERS!I175="%",RAW_ORDERS!H175*RAW_ORDERS!J175/100,RAW_ORDERS!J175)</f>
        <v/>
      </c>
      <c r="D175">
        <f>IF(RAW_ORDERS!K175="%",RAW_ORDERS!H175*RAW_ORDERS!L175/100,RAW_ORDERS!L175)</f>
        <v/>
      </c>
      <c r="E175">
        <f>IF(RAW_ORDERS!M175="%",RAW_ORDERS!H175*RAW_ORDERS!N175/100,RAW_ORDERS!N175)</f>
        <v/>
      </c>
      <c r="F175">
        <f>D175-C175</f>
        <v/>
      </c>
      <c r="G175">
        <f>C175-E175</f>
        <v/>
      </c>
      <c r="H175">
        <f>F175+G175</f>
        <v/>
      </c>
    </row>
    <row r="176">
      <c r="A176">
        <f>RAW_ORDERS!A176</f>
        <v/>
      </c>
      <c r="B176">
        <f>RAW_ORDERS!H176</f>
        <v/>
      </c>
      <c r="C176">
        <f>IF(RAW_ORDERS!I176="%",RAW_ORDERS!H176*RAW_ORDERS!J176/100,RAW_ORDERS!J176)</f>
        <v/>
      </c>
      <c r="D176">
        <f>IF(RAW_ORDERS!K176="%",RAW_ORDERS!H176*RAW_ORDERS!L176/100,RAW_ORDERS!L176)</f>
        <v/>
      </c>
      <c r="E176">
        <f>IF(RAW_ORDERS!M176="%",RAW_ORDERS!H176*RAW_ORDERS!N176/100,RAW_ORDERS!N176)</f>
        <v/>
      </c>
      <c r="F176">
        <f>D176-C176</f>
        <v/>
      </c>
      <c r="G176">
        <f>C176-E176</f>
        <v/>
      </c>
      <c r="H176">
        <f>F176+G176</f>
        <v/>
      </c>
    </row>
    <row r="177">
      <c r="A177">
        <f>RAW_ORDERS!A177</f>
        <v/>
      </c>
      <c r="B177">
        <f>RAW_ORDERS!H177</f>
        <v/>
      </c>
      <c r="C177">
        <f>IF(RAW_ORDERS!I177="%",RAW_ORDERS!H177*RAW_ORDERS!J177/100,RAW_ORDERS!J177)</f>
        <v/>
      </c>
      <c r="D177">
        <f>IF(RAW_ORDERS!K177="%",RAW_ORDERS!H177*RAW_ORDERS!L177/100,RAW_ORDERS!L177)</f>
        <v/>
      </c>
      <c r="E177">
        <f>IF(RAW_ORDERS!M177="%",RAW_ORDERS!H177*RAW_ORDERS!N177/100,RAW_ORDERS!N177)</f>
        <v/>
      </c>
      <c r="F177">
        <f>D177-C177</f>
        <v/>
      </c>
      <c r="G177">
        <f>C177-E177</f>
        <v/>
      </c>
      <c r="H177">
        <f>F177+G177</f>
        <v/>
      </c>
    </row>
    <row r="178">
      <c r="A178">
        <f>RAW_ORDERS!A178</f>
        <v/>
      </c>
      <c r="B178">
        <f>RAW_ORDERS!H178</f>
        <v/>
      </c>
      <c r="C178">
        <f>IF(RAW_ORDERS!I178="%",RAW_ORDERS!H178*RAW_ORDERS!J178/100,RAW_ORDERS!J178)</f>
        <v/>
      </c>
      <c r="D178">
        <f>IF(RAW_ORDERS!K178="%",RAW_ORDERS!H178*RAW_ORDERS!L178/100,RAW_ORDERS!L178)</f>
        <v/>
      </c>
      <c r="E178">
        <f>IF(RAW_ORDERS!M178="%",RAW_ORDERS!H178*RAW_ORDERS!N178/100,RAW_ORDERS!N178)</f>
        <v/>
      </c>
      <c r="F178">
        <f>D178-C178</f>
        <v/>
      </c>
      <c r="G178">
        <f>C178-E178</f>
        <v/>
      </c>
      <c r="H178">
        <f>F178+G178</f>
        <v/>
      </c>
    </row>
    <row r="179">
      <c r="A179">
        <f>RAW_ORDERS!A179</f>
        <v/>
      </c>
      <c r="B179">
        <f>RAW_ORDERS!H179</f>
        <v/>
      </c>
      <c r="C179">
        <f>IF(RAW_ORDERS!I179="%",RAW_ORDERS!H179*RAW_ORDERS!J179/100,RAW_ORDERS!J179)</f>
        <v/>
      </c>
      <c r="D179">
        <f>IF(RAW_ORDERS!K179="%",RAW_ORDERS!H179*RAW_ORDERS!L179/100,RAW_ORDERS!L179)</f>
        <v/>
      </c>
      <c r="E179">
        <f>IF(RAW_ORDERS!M179="%",RAW_ORDERS!H179*RAW_ORDERS!N179/100,RAW_ORDERS!N179)</f>
        <v/>
      </c>
      <c r="F179">
        <f>D179-C179</f>
        <v/>
      </c>
      <c r="G179">
        <f>C179-E179</f>
        <v/>
      </c>
      <c r="H179">
        <f>F179+G179</f>
        <v/>
      </c>
    </row>
    <row r="180">
      <c r="A180">
        <f>RAW_ORDERS!A180</f>
        <v/>
      </c>
      <c r="B180">
        <f>RAW_ORDERS!H180</f>
        <v/>
      </c>
      <c r="C180">
        <f>IF(RAW_ORDERS!I180="%",RAW_ORDERS!H180*RAW_ORDERS!J180/100,RAW_ORDERS!J180)</f>
        <v/>
      </c>
      <c r="D180">
        <f>IF(RAW_ORDERS!K180="%",RAW_ORDERS!H180*RAW_ORDERS!L180/100,RAW_ORDERS!L180)</f>
        <v/>
      </c>
      <c r="E180">
        <f>IF(RAW_ORDERS!M180="%",RAW_ORDERS!H180*RAW_ORDERS!N180/100,RAW_ORDERS!N180)</f>
        <v/>
      </c>
      <c r="F180">
        <f>D180-C180</f>
        <v/>
      </c>
      <c r="G180">
        <f>C180-E180</f>
        <v/>
      </c>
      <c r="H180">
        <f>F180+G180</f>
        <v/>
      </c>
    </row>
    <row r="181">
      <c r="A181">
        <f>RAW_ORDERS!A181</f>
        <v/>
      </c>
      <c r="B181">
        <f>RAW_ORDERS!H181</f>
        <v/>
      </c>
      <c r="C181">
        <f>IF(RAW_ORDERS!I181="%",RAW_ORDERS!H181*RAW_ORDERS!J181/100,RAW_ORDERS!J181)</f>
        <v/>
      </c>
      <c r="D181">
        <f>IF(RAW_ORDERS!K181="%",RAW_ORDERS!H181*RAW_ORDERS!L181/100,RAW_ORDERS!L181)</f>
        <v/>
      </c>
      <c r="E181">
        <f>IF(RAW_ORDERS!M181="%",RAW_ORDERS!H181*RAW_ORDERS!N181/100,RAW_ORDERS!N181)</f>
        <v/>
      </c>
      <c r="F181">
        <f>D181-C181</f>
        <v/>
      </c>
      <c r="G181">
        <f>C181-E181</f>
        <v/>
      </c>
      <c r="H181">
        <f>F181+G181</f>
        <v/>
      </c>
    </row>
    <row r="182">
      <c r="A182">
        <f>RAW_ORDERS!A182</f>
        <v/>
      </c>
      <c r="B182">
        <f>RAW_ORDERS!H182</f>
        <v/>
      </c>
      <c r="C182">
        <f>IF(RAW_ORDERS!I182="%",RAW_ORDERS!H182*RAW_ORDERS!J182/100,RAW_ORDERS!J182)</f>
        <v/>
      </c>
      <c r="D182">
        <f>IF(RAW_ORDERS!K182="%",RAW_ORDERS!H182*RAW_ORDERS!L182/100,RAW_ORDERS!L182)</f>
        <v/>
      </c>
      <c r="E182">
        <f>IF(RAW_ORDERS!M182="%",RAW_ORDERS!H182*RAW_ORDERS!N182/100,RAW_ORDERS!N182)</f>
        <v/>
      </c>
      <c r="F182">
        <f>D182-C182</f>
        <v/>
      </c>
      <c r="G182">
        <f>C182-E182</f>
        <v/>
      </c>
      <c r="H182">
        <f>F182+G182</f>
        <v/>
      </c>
    </row>
    <row r="183">
      <c r="A183">
        <f>RAW_ORDERS!A183</f>
        <v/>
      </c>
      <c r="B183">
        <f>RAW_ORDERS!H183</f>
        <v/>
      </c>
      <c r="C183">
        <f>IF(RAW_ORDERS!I183="%",RAW_ORDERS!H183*RAW_ORDERS!J183/100,RAW_ORDERS!J183)</f>
        <v/>
      </c>
      <c r="D183">
        <f>IF(RAW_ORDERS!K183="%",RAW_ORDERS!H183*RAW_ORDERS!L183/100,RAW_ORDERS!L183)</f>
        <v/>
      </c>
      <c r="E183">
        <f>IF(RAW_ORDERS!M183="%",RAW_ORDERS!H183*RAW_ORDERS!N183/100,RAW_ORDERS!N183)</f>
        <v/>
      </c>
      <c r="F183">
        <f>D183-C183</f>
        <v/>
      </c>
      <c r="G183">
        <f>C183-E183</f>
        <v/>
      </c>
      <c r="H183">
        <f>F183+G183</f>
        <v/>
      </c>
    </row>
    <row r="184">
      <c r="A184">
        <f>RAW_ORDERS!A184</f>
        <v/>
      </c>
      <c r="B184">
        <f>RAW_ORDERS!H184</f>
        <v/>
      </c>
      <c r="C184">
        <f>IF(RAW_ORDERS!I184="%",RAW_ORDERS!H184*RAW_ORDERS!J184/100,RAW_ORDERS!J184)</f>
        <v/>
      </c>
      <c r="D184">
        <f>IF(RAW_ORDERS!K184="%",RAW_ORDERS!H184*RAW_ORDERS!L184/100,RAW_ORDERS!L184)</f>
        <v/>
      </c>
      <c r="E184">
        <f>IF(RAW_ORDERS!M184="%",RAW_ORDERS!H184*RAW_ORDERS!N184/100,RAW_ORDERS!N184)</f>
        <v/>
      </c>
      <c r="F184">
        <f>D184-C184</f>
        <v/>
      </c>
      <c r="G184">
        <f>C184-E184</f>
        <v/>
      </c>
      <c r="H184">
        <f>F184+G184</f>
        <v/>
      </c>
    </row>
    <row r="185">
      <c r="A185">
        <f>RAW_ORDERS!A185</f>
        <v/>
      </c>
      <c r="B185">
        <f>RAW_ORDERS!H185</f>
        <v/>
      </c>
      <c r="C185">
        <f>IF(RAW_ORDERS!I185="%",RAW_ORDERS!H185*RAW_ORDERS!J185/100,RAW_ORDERS!J185)</f>
        <v/>
      </c>
      <c r="D185">
        <f>IF(RAW_ORDERS!K185="%",RAW_ORDERS!H185*RAW_ORDERS!L185/100,RAW_ORDERS!L185)</f>
        <v/>
      </c>
      <c r="E185">
        <f>IF(RAW_ORDERS!M185="%",RAW_ORDERS!H185*RAW_ORDERS!N185/100,RAW_ORDERS!N185)</f>
        <v/>
      </c>
      <c r="F185">
        <f>D185-C185</f>
        <v/>
      </c>
      <c r="G185">
        <f>C185-E185</f>
        <v/>
      </c>
      <c r="H185">
        <f>F185+G185</f>
        <v/>
      </c>
    </row>
    <row r="186">
      <c r="A186">
        <f>RAW_ORDERS!A186</f>
        <v/>
      </c>
      <c r="B186">
        <f>RAW_ORDERS!H186</f>
        <v/>
      </c>
      <c r="C186">
        <f>IF(RAW_ORDERS!I186="%",RAW_ORDERS!H186*RAW_ORDERS!J186/100,RAW_ORDERS!J186)</f>
        <v/>
      </c>
      <c r="D186">
        <f>IF(RAW_ORDERS!K186="%",RAW_ORDERS!H186*RAW_ORDERS!L186/100,RAW_ORDERS!L186)</f>
        <v/>
      </c>
      <c r="E186">
        <f>IF(RAW_ORDERS!M186="%",RAW_ORDERS!H186*RAW_ORDERS!N186/100,RAW_ORDERS!N186)</f>
        <v/>
      </c>
      <c r="F186">
        <f>D186-C186</f>
        <v/>
      </c>
      <c r="G186">
        <f>C186-E186</f>
        <v/>
      </c>
      <c r="H186">
        <f>F186+G186</f>
        <v/>
      </c>
    </row>
    <row r="187">
      <c r="A187">
        <f>RAW_ORDERS!A187</f>
        <v/>
      </c>
      <c r="B187">
        <f>RAW_ORDERS!H187</f>
        <v/>
      </c>
      <c r="C187">
        <f>IF(RAW_ORDERS!I187="%",RAW_ORDERS!H187*RAW_ORDERS!J187/100,RAW_ORDERS!J187)</f>
        <v/>
      </c>
      <c r="D187">
        <f>IF(RAW_ORDERS!K187="%",RAW_ORDERS!H187*RAW_ORDERS!L187/100,RAW_ORDERS!L187)</f>
        <v/>
      </c>
      <c r="E187">
        <f>IF(RAW_ORDERS!M187="%",RAW_ORDERS!H187*RAW_ORDERS!N187/100,RAW_ORDERS!N187)</f>
        <v/>
      </c>
      <c r="F187">
        <f>D187-C187</f>
        <v/>
      </c>
      <c r="G187">
        <f>C187-E187</f>
        <v/>
      </c>
      <c r="H187">
        <f>F187+G187</f>
        <v/>
      </c>
    </row>
    <row r="188">
      <c r="A188">
        <f>RAW_ORDERS!A188</f>
        <v/>
      </c>
      <c r="B188">
        <f>RAW_ORDERS!H188</f>
        <v/>
      </c>
      <c r="C188">
        <f>IF(RAW_ORDERS!I188="%",RAW_ORDERS!H188*RAW_ORDERS!J188/100,RAW_ORDERS!J188)</f>
        <v/>
      </c>
      <c r="D188">
        <f>IF(RAW_ORDERS!K188="%",RAW_ORDERS!H188*RAW_ORDERS!L188/100,RAW_ORDERS!L188)</f>
        <v/>
      </c>
      <c r="E188">
        <f>IF(RAW_ORDERS!M188="%",RAW_ORDERS!H188*RAW_ORDERS!N188/100,RAW_ORDERS!N188)</f>
        <v/>
      </c>
      <c r="F188">
        <f>D188-C188</f>
        <v/>
      </c>
      <c r="G188">
        <f>C188-E188</f>
        <v/>
      </c>
      <c r="H188">
        <f>F188+G188</f>
        <v/>
      </c>
    </row>
    <row r="189">
      <c r="A189">
        <f>RAW_ORDERS!A189</f>
        <v/>
      </c>
      <c r="B189">
        <f>RAW_ORDERS!H189</f>
        <v/>
      </c>
      <c r="C189">
        <f>IF(RAW_ORDERS!I189="%",RAW_ORDERS!H189*RAW_ORDERS!J189/100,RAW_ORDERS!J189)</f>
        <v/>
      </c>
      <c r="D189">
        <f>IF(RAW_ORDERS!K189="%",RAW_ORDERS!H189*RAW_ORDERS!L189/100,RAW_ORDERS!L189)</f>
        <v/>
      </c>
      <c r="E189">
        <f>IF(RAW_ORDERS!M189="%",RAW_ORDERS!H189*RAW_ORDERS!N189/100,RAW_ORDERS!N189)</f>
        <v/>
      </c>
      <c r="F189">
        <f>D189-C189</f>
        <v/>
      </c>
      <c r="G189">
        <f>C189-E189</f>
        <v/>
      </c>
      <c r="H189">
        <f>F189+G189</f>
        <v/>
      </c>
    </row>
    <row r="190">
      <c r="A190">
        <f>RAW_ORDERS!A190</f>
        <v/>
      </c>
      <c r="B190">
        <f>RAW_ORDERS!H190</f>
        <v/>
      </c>
      <c r="C190">
        <f>IF(RAW_ORDERS!I190="%",RAW_ORDERS!H190*RAW_ORDERS!J190/100,RAW_ORDERS!J190)</f>
        <v/>
      </c>
      <c r="D190">
        <f>IF(RAW_ORDERS!K190="%",RAW_ORDERS!H190*RAW_ORDERS!L190/100,RAW_ORDERS!L190)</f>
        <v/>
      </c>
      <c r="E190">
        <f>IF(RAW_ORDERS!M190="%",RAW_ORDERS!H190*RAW_ORDERS!N190/100,RAW_ORDERS!N190)</f>
        <v/>
      </c>
      <c r="F190">
        <f>D190-C190</f>
        <v/>
      </c>
      <c r="G190">
        <f>C190-E190</f>
        <v/>
      </c>
      <c r="H190">
        <f>F190+G190</f>
        <v/>
      </c>
    </row>
    <row r="191">
      <c r="A191">
        <f>RAW_ORDERS!A191</f>
        <v/>
      </c>
      <c r="B191">
        <f>RAW_ORDERS!H191</f>
        <v/>
      </c>
      <c r="C191">
        <f>IF(RAW_ORDERS!I191="%",RAW_ORDERS!H191*RAW_ORDERS!J191/100,RAW_ORDERS!J191)</f>
        <v/>
      </c>
      <c r="D191">
        <f>IF(RAW_ORDERS!K191="%",RAW_ORDERS!H191*RAW_ORDERS!L191/100,RAW_ORDERS!L191)</f>
        <v/>
      </c>
      <c r="E191">
        <f>IF(RAW_ORDERS!M191="%",RAW_ORDERS!H191*RAW_ORDERS!N191/100,RAW_ORDERS!N191)</f>
        <v/>
      </c>
      <c r="F191">
        <f>D191-C191</f>
        <v/>
      </c>
      <c r="G191">
        <f>C191-E191</f>
        <v/>
      </c>
      <c r="H191">
        <f>F191+G191</f>
        <v/>
      </c>
    </row>
    <row r="192">
      <c r="A192">
        <f>RAW_ORDERS!A192</f>
        <v/>
      </c>
      <c r="B192">
        <f>RAW_ORDERS!H192</f>
        <v/>
      </c>
      <c r="C192">
        <f>IF(RAW_ORDERS!I192="%",RAW_ORDERS!H192*RAW_ORDERS!J192/100,RAW_ORDERS!J192)</f>
        <v/>
      </c>
      <c r="D192">
        <f>IF(RAW_ORDERS!K192="%",RAW_ORDERS!H192*RAW_ORDERS!L192/100,RAW_ORDERS!L192)</f>
        <v/>
      </c>
      <c r="E192">
        <f>IF(RAW_ORDERS!M192="%",RAW_ORDERS!H192*RAW_ORDERS!N192/100,RAW_ORDERS!N192)</f>
        <v/>
      </c>
      <c r="F192">
        <f>D192-C192</f>
        <v/>
      </c>
      <c r="G192">
        <f>C192-E192</f>
        <v/>
      </c>
      <c r="H192">
        <f>F192+G192</f>
        <v/>
      </c>
    </row>
    <row r="193">
      <c r="A193">
        <f>RAW_ORDERS!A193</f>
        <v/>
      </c>
      <c r="B193">
        <f>RAW_ORDERS!H193</f>
        <v/>
      </c>
      <c r="C193">
        <f>IF(RAW_ORDERS!I193="%",RAW_ORDERS!H193*RAW_ORDERS!J193/100,RAW_ORDERS!J193)</f>
        <v/>
      </c>
      <c r="D193">
        <f>IF(RAW_ORDERS!K193="%",RAW_ORDERS!H193*RAW_ORDERS!L193/100,RAW_ORDERS!L193)</f>
        <v/>
      </c>
      <c r="E193">
        <f>IF(RAW_ORDERS!M193="%",RAW_ORDERS!H193*RAW_ORDERS!N193/100,RAW_ORDERS!N193)</f>
        <v/>
      </c>
      <c r="F193">
        <f>D193-C193</f>
        <v/>
      </c>
      <c r="G193">
        <f>C193-E193</f>
        <v/>
      </c>
      <c r="H193">
        <f>F193+G193</f>
        <v/>
      </c>
    </row>
    <row r="194">
      <c r="A194">
        <f>RAW_ORDERS!A194</f>
        <v/>
      </c>
      <c r="B194">
        <f>RAW_ORDERS!H194</f>
        <v/>
      </c>
      <c r="C194">
        <f>IF(RAW_ORDERS!I194="%",RAW_ORDERS!H194*RAW_ORDERS!J194/100,RAW_ORDERS!J194)</f>
        <v/>
      </c>
      <c r="D194">
        <f>IF(RAW_ORDERS!K194="%",RAW_ORDERS!H194*RAW_ORDERS!L194/100,RAW_ORDERS!L194)</f>
        <v/>
      </c>
      <c r="E194">
        <f>IF(RAW_ORDERS!M194="%",RAW_ORDERS!H194*RAW_ORDERS!N194/100,RAW_ORDERS!N194)</f>
        <v/>
      </c>
      <c r="F194">
        <f>D194-C194</f>
        <v/>
      </c>
      <c r="G194">
        <f>C194-E194</f>
        <v/>
      </c>
      <c r="H194">
        <f>F194+G194</f>
        <v/>
      </c>
    </row>
    <row r="195">
      <c r="A195">
        <f>RAW_ORDERS!A195</f>
        <v/>
      </c>
      <c r="B195">
        <f>RAW_ORDERS!H195</f>
        <v/>
      </c>
      <c r="C195">
        <f>IF(RAW_ORDERS!I195="%",RAW_ORDERS!H195*RAW_ORDERS!J195/100,RAW_ORDERS!J195)</f>
        <v/>
      </c>
      <c r="D195">
        <f>IF(RAW_ORDERS!K195="%",RAW_ORDERS!H195*RAW_ORDERS!L195/100,RAW_ORDERS!L195)</f>
        <v/>
      </c>
      <c r="E195">
        <f>IF(RAW_ORDERS!M195="%",RAW_ORDERS!H195*RAW_ORDERS!N195/100,RAW_ORDERS!N195)</f>
        <v/>
      </c>
      <c r="F195">
        <f>D195-C195</f>
        <v/>
      </c>
      <c r="G195">
        <f>C195-E195</f>
        <v/>
      </c>
      <c r="H195">
        <f>F195+G195</f>
        <v/>
      </c>
    </row>
    <row r="196">
      <c r="A196">
        <f>RAW_ORDERS!A196</f>
        <v/>
      </c>
      <c r="B196">
        <f>RAW_ORDERS!H196</f>
        <v/>
      </c>
      <c r="C196">
        <f>IF(RAW_ORDERS!I196="%",RAW_ORDERS!H196*RAW_ORDERS!J196/100,RAW_ORDERS!J196)</f>
        <v/>
      </c>
      <c r="D196">
        <f>IF(RAW_ORDERS!K196="%",RAW_ORDERS!H196*RAW_ORDERS!L196/100,RAW_ORDERS!L196)</f>
        <v/>
      </c>
      <c r="E196">
        <f>IF(RAW_ORDERS!M196="%",RAW_ORDERS!H196*RAW_ORDERS!N196/100,RAW_ORDERS!N196)</f>
        <v/>
      </c>
      <c r="F196">
        <f>D196-C196</f>
        <v/>
      </c>
      <c r="G196">
        <f>C196-E196</f>
        <v/>
      </c>
      <c r="H196">
        <f>F196+G196</f>
        <v/>
      </c>
    </row>
    <row r="197">
      <c r="A197">
        <f>RAW_ORDERS!A197</f>
        <v/>
      </c>
      <c r="B197">
        <f>RAW_ORDERS!H197</f>
        <v/>
      </c>
      <c r="C197">
        <f>IF(RAW_ORDERS!I197="%",RAW_ORDERS!H197*RAW_ORDERS!J197/100,RAW_ORDERS!J197)</f>
        <v/>
      </c>
      <c r="D197">
        <f>IF(RAW_ORDERS!K197="%",RAW_ORDERS!H197*RAW_ORDERS!L197/100,RAW_ORDERS!L197)</f>
        <v/>
      </c>
      <c r="E197">
        <f>IF(RAW_ORDERS!M197="%",RAW_ORDERS!H197*RAW_ORDERS!N197/100,RAW_ORDERS!N197)</f>
        <v/>
      </c>
      <c r="F197">
        <f>D197-C197</f>
        <v/>
      </c>
      <c r="G197">
        <f>C197-E197</f>
        <v/>
      </c>
      <c r="H197">
        <f>F197+G197</f>
        <v/>
      </c>
    </row>
    <row r="198">
      <c r="A198">
        <f>RAW_ORDERS!A198</f>
        <v/>
      </c>
      <c r="B198">
        <f>RAW_ORDERS!H198</f>
        <v/>
      </c>
      <c r="C198">
        <f>IF(RAW_ORDERS!I198="%",RAW_ORDERS!H198*RAW_ORDERS!J198/100,RAW_ORDERS!J198)</f>
        <v/>
      </c>
      <c r="D198">
        <f>IF(RAW_ORDERS!K198="%",RAW_ORDERS!H198*RAW_ORDERS!L198/100,RAW_ORDERS!L198)</f>
        <v/>
      </c>
      <c r="E198">
        <f>IF(RAW_ORDERS!M198="%",RAW_ORDERS!H198*RAW_ORDERS!N198/100,RAW_ORDERS!N198)</f>
        <v/>
      </c>
      <c r="F198">
        <f>D198-C198</f>
        <v/>
      </c>
      <c r="G198">
        <f>C198-E198</f>
        <v/>
      </c>
      <c r="H198">
        <f>F198+G198</f>
        <v/>
      </c>
    </row>
    <row r="199">
      <c r="A199">
        <f>RAW_ORDERS!A199</f>
        <v/>
      </c>
      <c r="B199">
        <f>RAW_ORDERS!H199</f>
        <v/>
      </c>
      <c r="C199">
        <f>IF(RAW_ORDERS!I199="%",RAW_ORDERS!H199*RAW_ORDERS!J199/100,RAW_ORDERS!J199)</f>
        <v/>
      </c>
      <c r="D199">
        <f>IF(RAW_ORDERS!K199="%",RAW_ORDERS!H199*RAW_ORDERS!L199/100,RAW_ORDERS!L199)</f>
        <v/>
      </c>
      <c r="E199">
        <f>IF(RAW_ORDERS!M199="%",RAW_ORDERS!H199*RAW_ORDERS!N199/100,RAW_ORDERS!N199)</f>
        <v/>
      </c>
      <c r="F199">
        <f>D199-C199</f>
        <v/>
      </c>
      <c r="G199">
        <f>C199-E199</f>
        <v/>
      </c>
      <c r="H199">
        <f>F199+G199</f>
        <v/>
      </c>
    </row>
    <row r="200">
      <c r="A200">
        <f>RAW_ORDERS!A200</f>
        <v/>
      </c>
      <c r="B200">
        <f>RAW_ORDERS!H200</f>
        <v/>
      </c>
      <c r="C200">
        <f>IF(RAW_ORDERS!I200="%",RAW_ORDERS!H200*RAW_ORDERS!J200/100,RAW_ORDERS!J200)</f>
        <v/>
      </c>
      <c r="D200">
        <f>IF(RAW_ORDERS!K200="%",RAW_ORDERS!H200*RAW_ORDERS!L200/100,RAW_ORDERS!L200)</f>
        <v/>
      </c>
      <c r="E200">
        <f>IF(RAW_ORDERS!M200="%",RAW_ORDERS!H200*RAW_ORDERS!N200/100,RAW_ORDERS!N200)</f>
        <v/>
      </c>
      <c r="F200">
        <f>D200-C200</f>
        <v/>
      </c>
      <c r="G200">
        <f>C200-E200</f>
        <v/>
      </c>
      <c r="H200">
        <f>F200+G200</f>
        <v/>
      </c>
    </row>
    <row r="201">
      <c r="A201">
        <f>RAW_ORDERS!A201</f>
        <v/>
      </c>
      <c r="B201">
        <f>RAW_ORDERS!H201</f>
        <v/>
      </c>
      <c r="C201">
        <f>IF(RAW_ORDERS!I201="%",RAW_ORDERS!H201*RAW_ORDERS!J201/100,RAW_ORDERS!J201)</f>
        <v/>
      </c>
      <c r="D201">
        <f>IF(RAW_ORDERS!K201="%",RAW_ORDERS!H201*RAW_ORDERS!L201/100,RAW_ORDERS!L201)</f>
        <v/>
      </c>
      <c r="E201">
        <f>IF(RAW_ORDERS!M201="%",RAW_ORDERS!H201*RAW_ORDERS!N201/100,RAW_ORDERS!N201)</f>
        <v/>
      </c>
      <c r="F201">
        <f>D201-C201</f>
        <v/>
      </c>
      <c r="G201">
        <f>C201-E201</f>
        <v/>
      </c>
      <c r="H201">
        <f>F201+G201</f>
        <v/>
      </c>
    </row>
    <row r="202">
      <c r="A202">
        <f>RAW_ORDERS!A202</f>
        <v/>
      </c>
      <c r="B202">
        <f>RAW_ORDERS!H202</f>
        <v/>
      </c>
      <c r="C202">
        <f>IF(RAW_ORDERS!I202="%",RAW_ORDERS!H202*RAW_ORDERS!J202/100,RAW_ORDERS!J202)</f>
        <v/>
      </c>
      <c r="D202">
        <f>IF(RAW_ORDERS!K202="%",RAW_ORDERS!H202*RAW_ORDERS!L202/100,RAW_ORDERS!L202)</f>
        <v/>
      </c>
      <c r="E202">
        <f>IF(RAW_ORDERS!M202="%",RAW_ORDERS!H202*RAW_ORDERS!N202/100,RAW_ORDERS!N202)</f>
        <v/>
      </c>
      <c r="F202">
        <f>D202-C202</f>
        <v/>
      </c>
      <c r="G202">
        <f>C202-E202</f>
        <v/>
      </c>
      <c r="H202">
        <f>F202+G202</f>
        <v/>
      </c>
    </row>
    <row r="203">
      <c r="A203">
        <f>RAW_ORDERS!A203</f>
        <v/>
      </c>
      <c r="B203">
        <f>RAW_ORDERS!H203</f>
        <v/>
      </c>
      <c r="C203">
        <f>IF(RAW_ORDERS!I203="%",RAW_ORDERS!H203*RAW_ORDERS!J203/100,RAW_ORDERS!J203)</f>
        <v/>
      </c>
      <c r="D203">
        <f>IF(RAW_ORDERS!K203="%",RAW_ORDERS!H203*RAW_ORDERS!L203/100,RAW_ORDERS!L203)</f>
        <v/>
      </c>
      <c r="E203">
        <f>IF(RAW_ORDERS!M203="%",RAW_ORDERS!H203*RAW_ORDERS!N203/100,RAW_ORDERS!N203)</f>
        <v/>
      </c>
      <c r="F203">
        <f>D203-C203</f>
        <v/>
      </c>
      <c r="G203">
        <f>C203-E203</f>
        <v/>
      </c>
      <c r="H203">
        <f>F203+G203</f>
        <v/>
      </c>
    </row>
    <row r="204">
      <c r="A204">
        <f>RAW_ORDERS!A204</f>
        <v/>
      </c>
      <c r="B204">
        <f>RAW_ORDERS!H204</f>
        <v/>
      </c>
      <c r="C204">
        <f>IF(RAW_ORDERS!I204="%",RAW_ORDERS!H204*RAW_ORDERS!J204/100,RAW_ORDERS!J204)</f>
        <v/>
      </c>
      <c r="D204">
        <f>IF(RAW_ORDERS!K204="%",RAW_ORDERS!H204*RAW_ORDERS!L204/100,RAW_ORDERS!L204)</f>
        <v/>
      </c>
      <c r="E204">
        <f>IF(RAW_ORDERS!M204="%",RAW_ORDERS!H204*RAW_ORDERS!N204/100,RAW_ORDERS!N204)</f>
        <v/>
      </c>
      <c r="F204">
        <f>D204-C204</f>
        <v/>
      </c>
      <c r="G204">
        <f>C204-E204</f>
        <v/>
      </c>
      <c r="H204">
        <f>F204+G204</f>
        <v/>
      </c>
    </row>
    <row r="205">
      <c r="A205">
        <f>RAW_ORDERS!A205</f>
        <v/>
      </c>
      <c r="B205">
        <f>RAW_ORDERS!H205</f>
        <v/>
      </c>
      <c r="C205">
        <f>IF(RAW_ORDERS!I205="%",RAW_ORDERS!H205*RAW_ORDERS!J205/100,RAW_ORDERS!J205)</f>
        <v/>
      </c>
      <c r="D205">
        <f>IF(RAW_ORDERS!K205="%",RAW_ORDERS!H205*RAW_ORDERS!L205/100,RAW_ORDERS!L205)</f>
        <v/>
      </c>
      <c r="E205">
        <f>IF(RAW_ORDERS!M205="%",RAW_ORDERS!H205*RAW_ORDERS!N205/100,RAW_ORDERS!N205)</f>
        <v/>
      </c>
      <c r="F205">
        <f>D205-C205</f>
        <v/>
      </c>
      <c r="G205">
        <f>C205-E205</f>
        <v/>
      </c>
      <c r="H205">
        <f>F205+G205</f>
        <v/>
      </c>
    </row>
    <row r="206">
      <c r="A206">
        <f>RAW_ORDERS!A206</f>
        <v/>
      </c>
      <c r="B206">
        <f>RAW_ORDERS!H206</f>
        <v/>
      </c>
      <c r="C206">
        <f>IF(RAW_ORDERS!I206="%",RAW_ORDERS!H206*RAW_ORDERS!J206/100,RAW_ORDERS!J206)</f>
        <v/>
      </c>
      <c r="D206">
        <f>IF(RAW_ORDERS!K206="%",RAW_ORDERS!H206*RAW_ORDERS!L206/100,RAW_ORDERS!L206)</f>
        <v/>
      </c>
      <c r="E206">
        <f>IF(RAW_ORDERS!M206="%",RAW_ORDERS!H206*RAW_ORDERS!N206/100,RAW_ORDERS!N206)</f>
        <v/>
      </c>
      <c r="F206">
        <f>D206-C206</f>
        <v/>
      </c>
      <c r="G206">
        <f>C206-E206</f>
        <v/>
      </c>
      <c r="H206">
        <f>F206+G206</f>
        <v/>
      </c>
    </row>
    <row r="207">
      <c r="A207">
        <f>RAW_ORDERS!A207</f>
        <v/>
      </c>
      <c r="B207">
        <f>RAW_ORDERS!H207</f>
        <v/>
      </c>
      <c r="C207">
        <f>IF(RAW_ORDERS!I207="%",RAW_ORDERS!H207*RAW_ORDERS!J207/100,RAW_ORDERS!J207)</f>
        <v/>
      </c>
      <c r="D207">
        <f>IF(RAW_ORDERS!K207="%",RAW_ORDERS!H207*RAW_ORDERS!L207/100,RAW_ORDERS!L207)</f>
        <v/>
      </c>
      <c r="E207">
        <f>IF(RAW_ORDERS!M207="%",RAW_ORDERS!H207*RAW_ORDERS!N207/100,RAW_ORDERS!N207)</f>
        <v/>
      </c>
      <c r="F207">
        <f>D207-C207</f>
        <v/>
      </c>
      <c r="G207">
        <f>C207-E207</f>
        <v/>
      </c>
      <c r="H207">
        <f>F207+G207</f>
        <v/>
      </c>
    </row>
    <row r="208">
      <c r="A208">
        <f>RAW_ORDERS!A208</f>
        <v/>
      </c>
      <c r="B208">
        <f>RAW_ORDERS!H208</f>
        <v/>
      </c>
      <c r="C208">
        <f>IF(RAW_ORDERS!I208="%",RAW_ORDERS!H208*RAW_ORDERS!J208/100,RAW_ORDERS!J208)</f>
        <v/>
      </c>
      <c r="D208">
        <f>IF(RAW_ORDERS!K208="%",RAW_ORDERS!H208*RAW_ORDERS!L208/100,RAW_ORDERS!L208)</f>
        <v/>
      </c>
      <c r="E208">
        <f>IF(RAW_ORDERS!M208="%",RAW_ORDERS!H208*RAW_ORDERS!N208/100,RAW_ORDERS!N208)</f>
        <v/>
      </c>
      <c r="F208">
        <f>D208-C208</f>
        <v/>
      </c>
      <c r="G208">
        <f>C208-E208</f>
        <v/>
      </c>
      <c r="H208">
        <f>F208+G208</f>
        <v/>
      </c>
    </row>
    <row r="209">
      <c r="A209">
        <f>RAW_ORDERS!A209</f>
        <v/>
      </c>
      <c r="B209">
        <f>RAW_ORDERS!H209</f>
        <v/>
      </c>
      <c r="C209">
        <f>IF(RAW_ORDERS!I209="%",RAW_ORDERS!H209*RAW_ORDERS!J209/100,RAW_ORDERS!J209)</f>
        <v/>
      </c>
      <c r="D209">
        <f>IF(RAW_ORDERS!K209="%",RAW_ORDERS!H209*RAW_ORDERS!L209/100,RAW_ORDERS!L209)</f>
        <v/>
      </c>
      <c r="E209">
        <f>IF(RAW_ORDERS!M209="%",RAW_ORDERS!H209*RAW_ORDERS!N209/100,RAW_ORDERS!N209)</f>
        <v/>
      </c>
      <c r="F209">
        <f>D209-C209</f>
        <v/>
      </c>
      <c r="G209">
        <f>C209-E209</f>
        <v/>
      </c>
      <c r="H209">
        <f>F209+G209</f>
        <v/>
      </c>
    </row>
    <row r="210">
      <c r="A210">
        <f>RAW_ORDERS!A210</f>
        <v/>
      </c>
      <c r="B210">
        <f>RAW_ORDERS!H210</f>
        <v/>
      </c>
      <c r="C210">
        <f>IF(RAW_ORDERS!I210="%",RAW_ORDERS!H210*RAW_ORDERS!J210/100,RAW_ORDERS!J210)</f>
        <v/>
      </c>
      <c r="D210">
        <f>IF(RAW_ORDERS!K210="%",RAW_ORDERS!H210*RAW_ORDERS!L210/100,RAW_ORDERS!L210)</f>
        <v/>
      </c>
      <c r="E210">
        <f>IF(RAW_ORDERS!M210="%",RAW_ORDERS!H210*RAW_ORDERS!N210/100,RAW_ORDERS!N210)</f>
        <v/>
      </c>
      <c r="F210">
        <f>D210-C210</f>
        <v/>
      </c>
      <c r="G210">
        <f>C210-E210</f>
        <v/>
      </c>
      <c r="H210">
        <f>F210+G210</f>
        <v/>
      </c>
    </row>
    <row r="211">
      <c r="A211">
        <f>RAW_ORDERS!A211</f>
        <v/>
      </c>
      <c r="B211">
        <f>RAW_ORDERS!H211</f>
        <v/>
      </c>
      <c r="C211">
        <f>IF(RAW_ORDERS!I211="%",RAW_ORDERS!H211*RAW_ORDERS!J211/100,RAW_ORDERS!J211)</f>
        <v/>
      </c>
      <c r="D211">
        <f>IF(RAW_ORDERS!K211="%",RAW_ORDERS!H211*RAW_ORDERS!L211/100,RAW_ORDERS!L211)</f>
        <v/>
      </c>
      <c r="E211">
        <f>IF(RAW_ORDERS!M211="%",RAW_ORDERS!H211*RAW_ORDERS!N211/100,RAW_ORDERS!N211)</f>
        <v/>
      </c>
      <c r="F211">
        <f>D211-C211</f>
        <v/>
      </c>
      <c r="G211">
        <f>C211-E211</f>
        <v/>
      </c>
      <c r="H211">
        <f>F211+G211</f>
        <v/>
      </c>
    </row>
    <row r="212">
      <c r="A212">
        <f>RAW_ORDERS!A212</f>
        <v/>
      </c>
      <c r="B212">
        <f>RAW_ORDERS!H212</f>
        <v/>
      </c>
      <c r="C212">
        <f>IF(RAW_ORDERS!I212="%",RAW_ORDERS!H212*RAW_ORDERS!J212/100,RAW_ORDERS!J212)</f>
        <v/>
      </c>
      <c r="D212">
        <f>IF(RAW_ORDERS!K212="%",RAW_ORDERS!H212*RAW_ORDERS!L212/100,RAW_ORDERS!L212)</f>
        <v/>
      </c>
      <c r="E212">
        <f>IF(RAW_ORDERS!M212="%",RAW_ORDERS!H212*RAW_ORDERS!N212/100,RAW_ORDERS!N212)</f>
        <v/>
      </c>
      <c r="F212">
        <f>D212-C212</f>
        <v/>
      </c>
      <c r="G212">
        <f>C212-E212</f>
        <v/>
      </c>
      <c r="H212">
        <f>F212+G212</f>
        <v/>
      </c>
    </row>
    <row r="213">
      <c r="A213">
        <f>RAW_ORDERS!A213</f>
        <v/>
      </c>
      <c r="B213">
        <f>RAW_ORDERS!H213</f>
        <v/>
      </c>
      <c r="C213">
        <f>IF(RAW_ORDERS!I213="%",RAW_ORDERS!H213*RAW_ORDERS!J213/100,RAW_ORDERS!J213)</f>
        <v/>
      </c>
      <c r="D213">
        <f>IF(RAW_ORDERS!K213="%",RAW_ORDERS!H213*RAW_ORDERS!L213/100,RAW_ORDERS!L213)</f>
        <v/>
      </c>
      <c r="E213">
        <f>IF(RAW_ORDERS!M213="%",RAW_ORDERS!H213*RAW_ORDERS!N213/100,RAW_ORDERS!N213)</f>
        <v/>
      </c>
      <c r="F213">
        <f>D213-C213</f>
        <v/>
      </c>
      <c r="G213">
        <f>C213-E213</f>
        <v/>
      </c>
      <c r="H213">
        <f>F213+G213</f>
        <v/>
      </c>
    </row>
    <row r="214">
      <c r="A214">
        <f>RAW_ORDERS!A214</f>
        <v/>
      </c>
      <c r="B214">
        <f>RAW_ORDERS!H214</f>
        <v/>
      </c>
      <c r="C214">
        <f>IF(RAW_ORDERS!I214="%",RAW_ORDERS!H214*RAW_ORDERS!J214/100,RAW_ORDERS!J214)</f>
        <v/>
      </c>
      <c r="D214">
        <f>IF(RAW_ORDERS!K214="%",RAW_ORDERS!H214*RAW_ORDERS!L214/100,RAW_ORDERS!L214)</f>
        <v/>
      </c>
      <c r="E214">
        <f>IF(RAW_ORDERS!M214="%",RAW_ORDERS!H214*RAW_ORDERS!N214/100,RAW_ORDERS!N214)</f>
        <v/>
      </c>
      <c r="F214">
        <f>D214-C214</f>
        <v/>
      </c>
      <c r="G214">
        <f>C214-E214</f>
        <v/>
      </c>
      <c r="H214">
        <f>F214+G214</f>
        <v/>
      </c>
    </row>
    <row r="215">
      <c r="A215">
        <f>RAW_ORDERS!A215</f>
        <v/>
      </c>
      <c r="B215">
        <f>RAW_ORDERS!H215</f>
        <v/>
      </c>
      <c r="C215">
        <f>IF(RAW_ORDERS!I215="%",RAW_ORDERS!H215*RAW_ORDERS!J215/100,RAW_ORDERS!J215)</f>
        <v/>
      </c>
      <c r="D215">
        <f>IF(RAW_ORDERS!K215="%",RAW_ORDERS!H215*RAW_ORDERS!L215/100,RAW_ORDERS!L215)</f>
        <v/>
      </c>
      <c r="E215">
        <f>IF(RAW_ORDERS!M215="%",RAW_ORDERS!H215*RAW_ORDERS!N215/100,RAW_ORDERS!N215)</f>
        <v/>
      </c>
      <c r="F215">
        <f>D215-C215</f>
        <v/>
      </c>
      <c r="G215">
        <f>C215-E215</f>
        <v/>
      </c>
      <c r="H215">
        <f>F215+G215</f>
        <v/>
      </c>
    </row>
    <row r="216">
      <c r="A216">
        <f>RAW_ORDERS!A216</f>
        <v/>
      </c>
      <c r="B216">
        <f>RAW_ORDERS!H216</f>
        <v/>
      </c>
      <c r="C216">
        <f>IF(RAW_ORDERS!I216="%",RAW_ORDERS!H216*RAW_ORDERS!J216/100,RAW_ORDERS!J216)</f>
        <v/>
      </c>
      <c r="D216">
        <f>IF(RAW_ORDERS!K216="%",RAW_ORDERS!H216*RAW_ORDERS!L216/100,RAW_ORDERS!L216)</f>
        <v/>
      </c>
      <c r="E216">
        <f>IF(RAW_ORDERS!M216="%",RAW_ORDERS!H216*RAW_ORDERS!N216/100,RAW_ORDERS!N216)</f>
        <v/>
      </c>
      <c r="F216">
        <f>D216-C216</f>
        <v/>
      </c>
      <c r="G216">
        <f>C216-E216</f>
        <v/>
      </c>
      <c r="H216">
        <f>F216+G216</f>
        <v/>
      </c>
    </row>
    <row r="217">
      <c r="A217">
        <f>RAW_ORDERS!A217</f>
        <v/>
      </c>
      <c r="B217">
        <f>RAW_ORDERS!H217</f>
        <v/>
      </c>
      <c r="C217">
        <f>IF(RAW_ORDERS!I217="%",RAW_ORDERS!H217*RAW_ORDERS!J217/100,RAW_ORDERS!J217)</f>
        <v/>
      </c>
      <c r="D217">
        <f>IF(RAW_ORDERS!K217="%",RAW_ORDERS!H217*RAW_ORDERS!L217/100,RAW_ORDERS!L217)</f>
        <v/>
      </c>
      <c r="E217">
        <f>IF(RAW_ORDERS!M217="%",RAW_ORDERS!H217*RAW_ORDERS!N217/100,RAW_ORDERS!N217)</f>
        <v/>
      </c>
      <c r="F217">
        <f>D217-C217</f>
        <v/>
      </c>
      <c r="G217">
        <f>C217-E217</f>
        <v/>
      </c>
      <c r="H217">
        <f>F217+G217</f>
        <v/>
      </c>
    </row>
    <row r="218">
      <c r="A218">
        <f>RAW_ORDERS!A218</f>
        <v/>
      </c>
      <c r="B218">
        <f>RAW_ORDERS!H218</f>
        <v/>
      </c>
      <c r="C218">
        <f>IF(RAW_ORDERS!I218="%",RAW_ORDERS!H218*RAW_ORDERS!J218/100,RAW_ORDERS!J218)</f>
        <v/>
      </c>
      <c r="D218">
        <f>IF(RAW_ORDERS!K218="%",RAW_ORDERS!H218*RAW_ORDERS!L218/100,RAW_ORDERS!L218)</f>
        <v/>
      </c>
      <c r="E218">
        <f>IF(RAW_ORDERS!M218="%",RAW_ORDERS!H218*RAW_ORDERS!N218/100,RAW_ORDERS!N218)</f>
        <v/>
      </c>
      <c r="F218">
        <f>D218-C218</f>
        <v/>
      </c>
      <c r="G218">
        <f>C218-E218</f>
        <v/>
      </c>
      <c r="H218">
        <f>F218+G218</f>
        <v/>
      </c>
    </row>
    <row r="219">
      <c r="A219">
        <f>RAW_ORDERS!A219</f>
        <v/>
      </c>
      <c r="B219">
        <f>RAW_ORDERS!H219</f>
        <v/>
      </c>
      <c r="C219">
        <f>IF(RAW_ORDERS!I219="%",RAW_ORDERS!H219*RAW_ORDERS!J219/100,RAW_ORDERS!J219)</f>
        <v/>
      </c>
      <c r="D219">
        <f>IF(RAW_ORDERS!K219="%",RAW_ORDERS!H219*RAW_ORDERS!L219/100,RAW_ORDERS!L219)</f>
        <v/>
      </c>
      <c r="E219">
        <f>IF(RAW_ORDERS!M219="%",RAW_ORDERS!H219*RAW_ORDERS!N219/100,RAW_ORDERS!N219)</f>
        <v/>
      </c>
      <c r="F219">
        <f>D219-C219</f>
        <v/>
      </c>
      <c r="G219">
        <f>C219-E219</f>
        <v/>
      </c>
      <c r="H219">
        <f>F219+G219</f>
        <v/>
      </c>
    </row>
    <row r="220">
      <c r="A220">
        <f>RAW_ORDERS!A220</f>
        <v/>
      </c>
      <c r="B220">
        <f>RAW_ORDERS!H220</f>
        <v/>
      </c>
      <c r="C220">
        <f>IF(RAW_ORDERS!I220="%",RAW_ORDERS!H220*RAW_ORDERS!J220/100,RAW_ORDERS!J220)</f>
        <v/>
      </c>
      <c r="D220">
        <f>IF(RAW_ORDERS!K220="%",RAW_ORDERS!H220*RAW_ORDERS!L220/100,RAW_ORDERS!L220)</f>
        <v/>
      </c>
      <c r="E220">
        <f>IF(RAW_ORDERS!M220="%",RAW_ORDERS!H220*RAW_ORDERS!N220/100,RAW_ORDERS!N220)</f>
        <v/>
      </c>
      <c r="F220">
        <f>D220-C220</f>
        <v/>
      </c>
      <c r="G220">
        <f>C220-E220</f>
        <v/>
      </c>
      <c r="H220">
        <f>F220+G220</f>
        <v/>
      </c>
    </row>
    <row r="221">
      <c r="A221">
        <f>RAW_ORDERS!A221</f>
        <v/>
      </c>
      <c r="B221">
        <f>RAW_ORDERS!H221</f>
        <v/>
      </c>
      <c r="C221">
        <f>IF(RAW_ORDERS!I221="%",RAW_ORDERS!H221*RAW_ORDERS!J221/100,RAW_ORDERS!J221)</f>
        <v/>
      </c>
      <c r="D221">
        <f>IF(RAW_ORDERS!K221="%",RAW_ORDERS!H221*RAW_ORDERS!L221/100,RAW_ORDERS!L221)</f>
        <v/>
      </c>
      <c r="E221">
        <f>IF(RAW_ORDERS!M221="%",RAW_ORDERS!H221*RAW_ORDERS!N221/100,RAW_ORDERS!N221)</f>
        <v/>
      </c>
      <c r="F221">
        <f>D221-C221</f>
        <v/>
      </c>
      <c r="G221">
        <f>C221-E221</f>
        <v/>
      </c>
      <c r="H221">
        <f>F221+G221</f>
        <v/>
      </c>
    </row>
    <row r="222">
      <c r="A222">
        <f>RAW_ORDERS!A222</f>
        <v/>
      </c>
      <c r="B222">
        <f>RAW_ORDERS!H222</f>
        <v/>
      </c>
      <c r="C222">
        <f>IF(RAW_ORDERS!I222="%",RAW_ORDERS!H222*RAW_ORDERS!J222/100,RAW_ORDERS!J222)</f>
        <v/>
      </c>
      <c r="D222">
        <f>IF(RAW_ORDERS!K222="%",RAW_ORDERS!H222*RAW_ORDERS!L222/100,RAW_ORDERS!L222)</f>
        <v/>
      </c>
      <c r="E222">
        <f>IF(RAW_ORDERS!M222="%",RAW_ORDERS!H222*RAW_ORDERS!N222/100,RAW_ORDERS!N222)</f>
        <v/>
      </c>
      <c r="F222">
        <f>D222-C222</f>
        <v/>
      </c>
      <c r="G222">
        <f>C222-E222</f>
        <v/>
      </c>
      <c r="H222">
        <f>F222+G222</f>
        <v/>
      </c>
    </row>
    <row r="223">
      <c r="A223">
        <f>RAW_ORDERS!A223</f>
        <v/>
      </c>
      <c r="B223">
        <f>RAW_ORDERS!H223</f>
        <v/>
      </c>
      <c r="C223">
        <f>IF(RAW_ORDERS!I223="%",RAW_ORDERS!H223*RAW_ORDERS!J223/100,RAW_ORDERS!J223)</f>
        <v/>
      </c>
      <c r="D223">
        <f>IF(RAW_ORDERS!K223="%",RAW_ORDERS!H223*RAW_ORDERS!L223/100,RAW_ORDERS!L223)</f>
        <v/>
      </c>
      <c r="E223">
        <f>IF(RAW_ORDERS!M223="%",RAW_ORDERS!H223*RAW_ORDERS!N223/100,RAW_ORDERS!N223)</f>
        <v/>
      </c>
      <c r="F223">
        <f>D223-C223</f>
        <v/>
      </c>
      <c r="G223">
        <f>C223-E223</f>
        <v/>
      </c>
      <c r="H223">
        <f>F223+G223</f>
        <v/>
      </c>
    </row>
    <row r="224">
      <c r="A224">
        <f>RAW_ORDERS!A224</f>
        <v/>
      </c>
      <c r="B224">
        <f>RAW_ORDERS!H224</f>
        <v/>
      </c>
      <c r="C224">
        <f>IF(RAW_ORDERS!I224="%",RAW_ORDERS!H224*RAW_ORDERS!J224/100,RAW_ORDERS!J224)</f>
        <v/>
      </c>
      <c r="D224">
        <f>IF(RAW_ORDERS!K224="%",RAW_ORDERS!H224*RAW_ORDERS!L224/100,RAW_ORDERS!L224)</f>
        <v/>
      </c>
      <c r="E224">
        <f>IF(RAW_ORDERS!M224="%",RAW_ORDERS!H224*RAW_ORDERS!N224/100,RAW_ORDERS!N224)</f>
        <v/>
      </c>
      <c r="F224">
        <f>D224-C224</f>
        <v/>
      </c>
      <c r="G224">
        <f>C224-E224</f>
        <v/>
      </c>
      <c r="H224">
        <f>F224+G224</f>
        <v/>
      </c>
    </row>
    <row r="225">
      <c r="A225">
        <f>RAW_ORDERS!A225</f>
        <v/>
      </c>
      <c r="B225">
        <f>RAW_ORDERS!H225</f>
        <v/>
      </c>
      <c r="C225">
        <f>IF(RAW_ORDERS!I225="%",RAW_ORDERS!H225*RAW_ORDERS!J225/100,RAW_ORDERS!J225)</f>
        <v/>
      </c>
      <c r="D225">
        <f>IF(RAW_ORDERS!K225="%",RAW_ORDERS!H225*RAW_ORDERS!L225/100,RAW_ORDERS!L225)</f>
        <v/>
      </c>
      <c r="E225">
        <f>IF(RAW_ORDERS!M225="%",RAW_ORDERS!H225*RAW_ORDERS!N225/100,RAW_ORDERS!N225)</f>
        <v/>
      </c>
      <c r="F225">
        <f>D225-C225</f>
        <v/>
      </c>
      <c r="G225">
        <f>C225-E225</f>
        <v/>
      </c>
      <c r="H225">
        <f>F225+G225</f>
        <v/>
      </c>
    </row>
    <row r="226">
      <c r="A226">
        <f>RAW_ORDERS!A226</f>
        <v/>
      </c>
      <c r="B226">
        <f>RAW_ORDERS!H226</f>
        <v/>
      </c>
      <c r="C226">
        <f>IF(RAW_ORDERS!I226="%",RAW_ORDERS!H226*RAW_ORDERS!J226/100,RAW_ORDERS!J226)</f>
        <v/>
      </c>
      <c r="D226">
        <f>IF(RAW_ORDERS!K226="%",RAW_ORDERS!H226*RAW_ORDERS!L226/100,RAW_ORDERS!L226)</f>
        <v/>
      </c>
      <c r="E226">
        <f>IF(RAW_ORDERS!M226="%",RAW_ORDERS!H226*RAW_ORDERS!N226/100,RAW_ORDERS!N226)</f>
        <v/>
      </c>
      <c r="F226">
        <f>D226-C226</f>
        <v/>
      </c>
      <c r="G226">
        <f>C226-E226</f>
        <v/>
      </c>
      <c r="H226">
        <f>F226+G226</f>
        <v/>
      </c>
    </row>
    <row r="227">
      <c r="A227">
        <f>RAW_ORDERS!A227</f>
        <v/>
      </c>
      <c r="B227">
        <f>RAW_ORDERS!H227</f>
        <v/>
      </c>
      <c r="C227">
        <f>IF(RAW_ORDERS!I227="%",RAW_ORDERS!H227*RAW_ORDERS!J227/100,RAW_ORDERS!J227)</f>
        <v/>
      </c>
      <c r="D227">
        <f>IF(RAW_ORDERS!K227="%",RAW_ORDERS!H227*RAW_ORDERS!L227/100,RAW_ORDERS!L227)</f>
        <v/>
      </c>
      <c r="E227">
        <f>IF(RAW_ORDERS!M227="%",RAW_ORDERS!H227*RAW_ORDERS!N227/100,RAW_ORDERS!N227)</f>
        <v/>
      </c>
      <c r="F227">
        <f>D227-C227</f>
        <v/>
      </c>
      <c r="G227">
        <f>C227-E227</f>
        <v/>
      </c>
      <c r="H227">
        <f>F227+G227</f>
        <v/>
      </c>
    </row>
    <row r="228">
      <c r="A228">
        <f>RAW_ORDERS!A228</f>
        <v/>
      </c>
      <c r="B228">
        <f>RAW_ORDERS!H228</f>
        <v/>
      </c>
      <c r="C228">
        <f>IF(RAW_ORDERS!I228="%",RAW_ORDERS!H228*RAW_ORDERS!J228/100,RAW_ORDERS!J228)</f>
        <v/>
      </c>
      <c r="D228">
        <f>IF(RAW_ORDERS!K228="%",RAW_ORDERS!H228*RAW_ORDERS!L228/100,RAW_ORDERS!L228)</f>
        <v/>
      </c>
      <c r="E228">
        <f>IF(RAW_ORDERS!M228="%",RAW_ORDERS!H228*RAW_ORDERS!N228/100,RAW_ORDERS!N228)</f>
        <v/>
      </c>
      <c r="F228">
        <f>D228-C228</f>
        <v/>
      </c>
      <c r="G228">
        <f>C228-E228</f>
        <v/>
      </c>
      <c r="H228">
        <f>F228+G228</f>
        <v/>
      </c>
    </row>
    <row r="229">
      <c r="A229">
        <f>RAW_ORDERS!A229</f>
        <v/>
      </c>
      <c r="B229">
        <f>RAW_ORDERS!H229</f>
        <v/>
      </c>
      <c r="C229">
        <f>IF(RAW_ORDERS!I229="%",RAW_ORDERS!H229*RAW_ORDERS!J229/100,RAW_ORDERS!J229)</f>
        <v/>
      </c>
      <c r="D229">
        <f>IF(RAW_ORDERS!K229="%",RAW_ORDERS!H229*RAW_ORDERS!L229/100,RAW_ORDERS!L229)</f>
        <v/>
      </c>
      <c r="E229">
        <f>IF(RAW_ORDERS!M229="%",RAW_ORDERS!H229*RAW_ORDERS!N229/100,RAW_ORDERS!N229)</f>
        <v/>
      </c>
      <c r="F229">
        <f>D229-C229</f>
        <v/>
      </c>
      <c r="G229">
        <f>C229-E229</f>
        <v/>
      </c>
      <c r="H229">
        <f>F229+G229</f>
        <v/>
      </c>
    </row>
    <row r="230">
      <c r="A230">
        <f>RAW_ORDERS!A230</f>
        <v/>
      </c>
      <c r="B230">
        <f>RAW_ORDERS!H230</f>
        <v/>
      </c>
      <c r="C230">
        <f>IF(RAW_ORDERS!I230="%",RAW_ORDERS!H230*RAW_ORDERS!J230/100,RAW_ORDERS!J230)</f>
        <v/>
      </c>
      <c r="D230">
        <f>IF(RAW_ORDERS!K230="%",RAW_ORDERS!H230*RAW_ORDERS!L230/100,RAW_ORDERS!L230)</f>
        <v/>
      </c>
      <c r="E230">
        <f>IF(RAW_ORDERS!M230="%",RAW_ORDERS!H230*RAW_ORDERS!N230/100,RAW_ORDERS!N230)</f>
        <v/>
      </c>
      <c r="F230">
        <f>D230-C230</f>
        <v/>
      </c>
      <c r="G230">
        <f>C230-E230</f>
        <v/>
      </c>
      <c r="H230">
        <f>F230+G230</f>
        <v/>
      </c>
    </row>
    <row r="231">
      <c r="A231">
        <f>RAW_ORDERS!A231</f>
        <v/>
      </c>
      <c r="B231">
        <f>RAW_ORDERS!H231</f>
        <v/>
      </c>
      <c r="C231">
        <f>IF(RAW_ORDERS!I231="%",RAW_ORDERS!H231*RAW_ORDERS!J231/100,RAW_ORDERS!J231)</f>
        <v/>
      </c>
      <c r="D231">
        <f>IF(RAW_ORDERS!K231="%",RAW_ORDERS!H231*RAW_ORDERS!L231/100,RAW_ORDERS!L231)</f>
        <v/>
      </c>
      <c r="E231">
        <f>IF(RAW_ORDERS!M231="%",RAW_ORDERS!H231*RAW_ORDERS!N231/100,RAW_ORDERS!N231)</f>
        <v/>
      </c>
      <c r="F231">
        <f>D231-C231</f>
        <v/>
      </c>
      <c r="G231">
        <f>C231-E231</f>
        <v/>
      </c>
      <c r="H231">
        <f>F231+G231</f>
        <v/>
      </c>
    </row>
    <row r="232">
      <c r="A232">
        <f>RAW_ORDERS!A232</f>
        <v/>
      </c>
      <c r="B232">
        <f>RAW_ORDERS!H232</f>
        <v/>
      </c>
      <c r="C232">
        <f>IF(RAW_ORDERS!I232="%",RAW_ORDERS!H232*RAW_ORDERS!J232/100,RAW_ORDERS!J232)</f>
        <v/>
      </c>
      <c r="D232">
        <f>IF(RAW_ORDERS!K232="%",RAW_ORDERS!H232*RAW_ORDERS!L232/100,RAW_ORDERS!L232)</f>
        <v/>
      </c>
      <c r="E232">
        <f>IF(RAW_ORDERS!M232="%",RAW_ORDERS!H232*RAW_ORDERS!N232/100,RAW_ORDERS!N232)</f>
        <v/>
      </c>
      <c r="F232">
        <f>D232-C232</f>
        <v/>
      </c>
      <c r="G232">
        <f>C232-E232</f>
        <v/>
      </c>
      <c r="H232">
        <f>F232+G232</f>
        <v/>
      </c>
    </row>
    <row r="233">
      <c r="A233">
        <f>RAW_ORDERS!A233</f>
        <v/>
      </c>
      <c r="B233">
        <f>RAW_ORDERS!H233</f>
        <v/>
      </c>
      <c r="C233">
        <f>IF(RAW_ORDERS!I233="%",RAW_ORDERS!H233*RAW_ORDERS!J233/100,RAW_ORDERS!J233)</f>
        <v/>
      </c>
      <c r="D233">
        <f>IF(RAW_ORDERS!K233="%",RAW_ORDERS!H233*RAW_ORDERS!L233/100,RAW_ORDERS!L233)</f>
        <v/>
      </c>
      <c r="E233">
        <f>IF(RAW_ORDERS!M233="%",RAW_ORDERS!H233*RAW_ORDERS!N233/100,RAW_ORDERS!N233)</f>
        <v/>
      </c>
      <c r="F233">
        <f>D233-C233</f>
        <v/>
      </c>
      <c r="G233">
        <f>C233-E233</f>
        <v/>
      </c>
      <c r="H233">
        <f>F233+G233</f>
        <v/>
      </c>
    </row>
    <row r="234">
      <c r="A234">
        <f>RAW_ORDERS!A234</f>
        <v/>
      </c>
      <c r="B234">
        <f>RAW_ORDERS!H234</f>
        <v/>
      </c>
      <c r="C234">
        <f>IF(RAW_ORDERS!I234="%",RAW_ORDERS!H234*RAW_ORDERS!J234/100,RAW_ORDERS!J234)</f>
        <v/>
      </c>
      <c r="D234">
        <f>IF(RAW_ORDERS!K234="%",RAW_ORDERS!H234*RAW_ORDERS!L234/100,RAW_ORDERS!L234)</f>
        <v/>
      </c>
      <c r="E234">
        <f>IF(RAW_ORDERS!M234="%",RAW_ORDERS!H234*RAW_ORDERS!N234/100,RAW_ORDERS!N234)</f>
        <v/>
      </c>
      <c r="F234">
        <f>D234-C234</f>
        <v/>
      </c>
      <c r="G234">
        <f>C234-E234</f>
        <v/>
      </c>
      <c r="H234">
        <f>F234+G234</f>
        <v/>
      </c>
    </row>
    <row r="235">
      <c r="A235">
        <f>RAW_ORDERS!A235</f>
        <v/>
      </c>
      <c r="B235">
        <f>RAW_ORDERS!H235</f>
        <v/>
      </c>
      <c r="C235">
        <f>IF(RAW_ORDERS!I235="%",RAW_ORDERS!H235*RAW_ORDERS!J235/100,RAW_ORDERS!J235)</f>
        <v/>
      </c>
      <c r="D235">
        <f>IF(RAW_ORDERS!K235="%",RAW_ORDERS!H235*RAW_ORDERS!L235/100,RAW_ORDERS!L235)</f>
        <v/>
      </c>
      <c r="E235">
        <f>IF(RAW_ORDERS!M235="%",RAW_ORDERS!H235*RAW_ORDERS!N235/100,RAW_ORDERS!N235)</f>
        <v/>
      </c>
      <c r="F235">
        <f>D235-C235</f>
        <v/>
      </c>
      <c r="G235">
        <f>C235-E235</f>
        <v/>
      </c>
      <c r="H235">
        <f>F235+G235</f>
        <v/>
      </c>
    </row>
    <row r="236">
      <c r="A236">
        <f>RAW_ORDERS!A236</f>
        <v/>
      </c>
      <c r="B236">
        <f>RAW_ORDERS!H236</f>
        <v/>
      </c>
      <c r="C236">
        <f>IF(RAW_ORDERS!I236="%",RAW_ORDERS!H236*RAW_ORDERS!J236/100,RAW_ORDERS!J236)</f>
        <v/>
      </c>
      <c r="D236">
        <f>IF(RAW_ORDERS!K236="%",RAW_ORDERS!H236*RAW_ORDERS!L236/100,RAW_ORDERS!L236)</f>
        <v/>
      </c>
      <c r="E236">
        <f>IF(RAW_ORDERS!M236="%",RAW_ORDERS!H236*RAW_ORDERS!N236/100,RAW_ORDERS!N236)</f>
        <v/>
      </c>
      <c r="F236">
        <f>D236-C236</f>
        <v/>
      </c>
      <c r="G236">
        <f>C236-E236</f>
        <v/>
      </c>
      <c r="H236">
        <f>F236+G236</f>
        <v/>
      </c>
    </row>
    <row r="237">
      <c r="A237">
        <f>RAW_ORDERS!A237</f>
        <v/>
      </c>
      <c r="B237">
        <f>RAW_ORDERS!H237</f>
        <v/>
      </c>
      <c r="C237">
        <f>IF(RAW_ORDERS!I237="%",RAW_ORDERS!H237*RAW_ORDERS!J237/100,RAW_ORDERS!J237)</f>
        <v/>
      </c>
      <c r="D237">
        <f>IF(RAW_ORDERS!K237="%",RAW_ORDERS!H237*RAW_ORDERS!L237/100,RAW_ORDERS!L237)</f>
        <v/>
      </c>
      <c r="E237">
        <f>IF(RAW_ORDERS!M237="%",RAW_ORDERS!H237*RAW_ORDERS!N237/100,RAW_ORDERS!N237)</f>
        <v/>
      </c>
      <c r="F237">
        <f>D237-C237</f>
        <v/>
      </c>
      <c r="G237">
        <f>C237-E237</f>
        <v/>
      </c>
      <c r="H237">
        <f>F237+G237</f>
        <v/>
      </c>
    </row>
    <row r="238">
      <c r="A238">
        <f>RAW_ORDERS!A238</f>
        <v/>
      </c>
      <c r="B238">
        <f>RAW_ORDERS!H238</f>
        <v/>
      </c>
      <c r="C238">
        <f>IF(RAW_ORDERS!I238="%",RAW_ORDERS!H238*RAW_ORDERS!J238/100,RAW_ORDERS!J238)</f>
        <v/>
      </c>
      <c r="D238">
        <f>IF(RAW_ORDERS!K238="%",RAW_ORDERS!H238*RAW_ORDERS!L238/100,RAW_ORDERS!L238)</f>
        <v/>
      </c>
      <c r="E238">
        <f>IF(RAW_ORDERS!M238="%",RAW_ORDERS!H238*RAW_ORDERS!N238/100,RAW_ORDERS!N238)</f>
        <v/>
      </c>
      <c r="F238">
        <f>D238-C238</f>
        <v/>
      </c>
      <c r="G238">
        <f>C238-E238</f>
        <v/>
      </c>
      <c r="H238">
        <f>F238+G238</f>
        <v/>
      </c>
    </row>
    <row r="239">
      <c r="A239">
        <f>RAW_ORDERS!A239</f>
        <v/>
      </c>
      <c r="B239">
        <f>RAW_ORDERS!H239</f>
        <v/>
      </c>
      <c r="C239">
        <f>IF(RAW_ORDERS!I239="%",RAW_ORDERS!H239*RAW_ORDERS!J239/100,RAW_ORDERS!J239)</f>
        <v/>
      </c>
      <c r="D239">
        <f>IF(RAW_ORDERS!K239="%",RAW_ORDERS!H239*RAW_ORDERS!L239/100,RAW_ORDERS!L239)</f>
        <v/>
      </c>
      <c r="E239">
        <f>IF(RAW_ORDERS!M239="%",RAW_ORDERS!H239*RAW_ORDERS!N239/100,RAW_ORDERS!N239)</f>
        <v/>
      </c>
      <c r="F239">
        <f>D239-C239</f>
        <v/>
      </c>
      <c r="G239">
        <f>C239-E239</f>
        <v/>
      </c>
      <c r="H239">
        <f>F239+G239</f>
        <v/>
      </c>
    </row>
    <row r="240">
      <c r="A240">
        <f>RAW_ORDERS!A240</f>
        <v/>
      </c>
      <c r="B240">
        <f>RAW_ORDERS!H240</f>
        <v/>
      </c>
      <c r="C240">
        <f>IF(RAW_ORDERS!I240="%",RAW_ORDERS!H240*RAW_ORDERS!J240/100,RAW_ORDERS!J240)</f>
        <v/>
      </c>
      <c r="D240">
        <f>IF(RAW_ORDERS!K240="%",RAW_ORDERS!H240*RAW_ORDERS!L240/100,RAW_ORDERS!L240)</f>
        <v/>
      </c>
      <c r="E240">
        <f>IF(RAW_ORDERS!M240="%",RAW_ORDERS!H240*RAW_ORDERS!N240/100,RAW_ORDERS!N240)</f>
        <v/>
      </c>
      <c r="F240">
        <f>D240-C240</f>
        <v/>
      </c>
      <c r="G240">
        <f>C240-E240</f>
        <v/>
      </c>
      <c r="H240">
        <f>F240+G240</f>
        <v/>
      </c>
    </row>
    <row r="241">
      <c r="A241">
        <f>RAW_ORDERS!A241</f>
        <v/>
      </c>
      <c r="B241">
        <f>RAW_ORDERS!H241</f>
        <v/>
      </c>
      <c r="C241">
        <f>IF(RAW_ORDERS!I241="%",RAW_ORDERS!H241*RAW_ORDERS!J241/100,RAW_ORDERS!J241)</f>
        <v/>
      </c>
      <c r="D241">
        <f>IF(RAW_ORDERS!K241="%",RAW_ORDERS!H241*RAW_ORDERS!L241/100,RAW_ORDERS!L241)</f>
        <v/>
      </c>
      <c r="E241">
        <f>IF(RAW_ORDERS!M241="%",RAW_ORDERS!H241*RAW_ORDERS!N241/100,RAW_ORDERS!N241)</f>
        <v/>
      </c>
      <c r="F241">
        <f>D241-C241</f>
        <v/>
      </c>
      <c r="G241">
        <f>C241-E241</f>
        <v/>
      </c>
      <c r="H241">
        <f>F241+G241</f>
        <v/>
      </c>
    </row>
    <row r="242">
      <c r="A242">
        <f>RAW_ORDERS!A242</f>
        <v/>
      </c>
      <c r="B242">
        <f>RAW_ORDERS!H242</f>
        <v/>
      </c>
      <c r="C242">
        <f>IF(RAW_ORDERS!I242="%",RAW_ORDERS!H242*RAW_ORDERS!J242/100,RAW_ORDERS!J242)</f>
        <v/>
      </c>
      <c r="D242">
        <f>IF(RAW_ORDERS!K242="%",RAW_ORDERS!H242*RAW_ORDERS!L242/100,RAW_ORDERS!L242)</f>
        <v/>
      </c>
      <c r="E242">
        <f>IF(RAW_ORDERS!M242="%",RAW_ORDERS!H242*RAW_ORDERS!N242/100,RAW_ORDERS!N242)</f>
        <v/>
      </c>
      <c r="F242">
        <f>D242-C242</f>
        <v/>
      </c>
      <c r="G242">
        <f>C242-E242</f>
        <v/>
      </c>
      <c r="H242">
        <f>F242+G242</f>
        <v/>
      </c>
    </row>
    <row r="243">
      <c r="A243">
        <f>RAW_ORDERS!A243</f>
        <v/>
      </c>
      <c r="B243">
        <f>RAW_ORDERS!H243</f>
        <v/>
      </c>
      <c r="C243">
        <f>IF(RAW_ORDERS!I243="%",RAW_ORDERS!H243*RAW_ORDERS!J243/100,RAW_ORDERS!J243)</f>
        <v/>
      </c>
      <c r="D243">
        <f>IF(RAW_ORDERS!K243="%",RAW_ORDERS!H243*RAW_ORDERS!L243/100,RAW_ORDERS!L243)</f>
        <v/>
      </c>
      <c r="E243">
        <f>IF(RAW_ORDERS!M243="%",RAW_ORDERS!H243*RAW_ORDERS!N243/100,RAW_ORDERS!N243)</f>
        <v/>
      </c>
      <c r="F243">
        <f>D243-C243</f>
        <v/>
      </c>
      <c r="G243">
        <f>C243-E243</f>
        <v/>
      </c>
      <c r="H243">
        <f>F243+G243</f>
        <v/>
      </c>
    </row>
    <row r="244">
      <c r="A244">
        <f>RAW_ORDERS!A244</f>
        <v/>
      </c>
      <c r="B244">
        <f>RAW_ORDERS!H244</f>
        <v/>
      </c>
      <c r="C244">
        <f>IF(RAW_ORDERS!I244="%",RAW_ORDERS!H244*RAW_ORDERS!J244/100,RAW_ORDERS!J244)</f>
        <v/>
      </c>
      <c r="D244">
        <f>IF(RAW_ORDERS!K244="%",RAW_ORDERS!H244*RAW_ORDERS!L244/100,RAW_ORDERS!L244)</f>
        <v/>
      </c>
      <c r="E244">
        <f>IF(RAW_ORDERS!M244="%",RAW_ORDERS!H244*RAW_ORDERS!N244/100,RAW_ORDERS!N244)</f>
        <v/>
      </c>
      <c r="F244">
        <f>D244-C244</f>
        <v/>
      </c>
      <c r="G244">
        <f>C244-E244</f>
        <v/>
      </c>
      <c r="H244">
        <f>F244+G244</f>
        <v/>
      </c>
    </row>
    <row r="245">
      <c r="A245">
        <f>RAW_ORDERS!A245</f>
        <v/>
      </c>
      <c r="B245">
        <f>RAW_ORDERS!H245</f>
        <v/>
      </c>
      <c r="C245">
        <f>IF(RAW_ORDERS!I245="%",RAW_ORDERS!H245*RAW_ORDERS!J245/100,RAW_ORDERS!J245)</f>
        <v/>
      </c>
      <c r="D245">
        <f>IF(RAW_ORDERS!K245="%",RAW_ORDERS!H245*RAW_ORDERS!L245/100,RAW_ORDERS!L245)</f>
        <v/>
      </c>
      <c r="E245">
        <f>IF(RAW_ORDERS!M245="%",RAW_ORDERS!H245*RAW_ORDERS!N245/100,RAW_ORDERS!N245)</f>
        <v/>
      </c>
      <c r="F245">
        <f>D245-C245</f>
        <v/>
      </c>
      <c r="G245">
        <f>C245-E245</f>
        <v/>
      </c>
      <c r="H245">
        <f>F245+G245</f>
        <v/>
      </c>
    </row>
    <row r="246">
      <c r="A246">
        <f>RAW_ORDERS!A246</f>
        <v/>
      </c>
      <c r="B246">
        <f>RAW_ORDERS!H246</f>
        <v/>
      </c>
      <c r="C246">
        <f>IF(RAW_ORDERS!I246="%",RAW_ORDERS!H246*RAW_ORDERS!J246/100,RAW_ORDERS!J246)</f>
        <v/>
      </c>
      <c r="D246">
        <f>IF(RAW_ORDERS!K246="%",RAW_ORDERS!H246*RAW_ORDERS!L246/100,RAW_ORDERS!L246)</f>
        <v/>
      </c>
      <c r="E246">
        <f>IF(RAW_ORDERS!M246="%",RAW_ORDERS!H246*RAW_ORDERS!N246/100,RAW_ORDERS!N246)</f>
        <v/>
      </c>
      <c r="F246">
        <f>D246-C246</f>
        <v/>
      </c>
      <c r="G246">
        <f>C246-E246</f>
        <v/>
      </c>
      <c r="H246">
        <f>F246+G246</f>
        <v/>
      </c>
    </row>
    <row r="247">
      <c r="A247">
        <f>RAW_ORDERS!A247</f>
        <v/>
      </c>
      <c r="B247">
        <f>RAW_ORDERS!H247</f>
        <v/>
      </c>
      <c r="C247">
        <f>IF(RAW_ORDERS!I247="%",RAW_ORDERS!H247*RAW_ORDERS!J247/100,RAW_ORDERS!J247)</f>
        <v/>
      </c>
      <c r="D247">
        <f>IF(RAW_ORDERS!K247="%",RAW_ORDERS!H247*RAW_ORDERS!L247/100,RAW_ORDERS!L247)</f>
        <v/>
      </c>
      <c r="E247">
        <f>IF(RAW_ORDERS!M247="%",RAW_ORDERS!H247*RAW_ORDERS!N247/100,RAW_ORDERS!N247)</f>
        <v/>
      </c>
      <c r="F247">
        <f>D247-C247</f>
        <v/>
      </c>
      <c r="G247">
        <f>C247-E247</f>
        <v/>
      </c>
      <c r="H247">
        <f>F247+G247</f>
        <v/>
      </c>
    </row>
    <row r="248">
      <c r="A248">
        <f>RAW_ORDERS!A248</f>
        <v/>
      </c>
      <c r="B248">
        <f>RAW_ORDERS!H248</f>
        <v/>
      </c>
      <c r="C248">
        <f>IF(RAW_ORDERS!I248="%",RAW_ORDERS!H248*RAW_ORDERS!J248/100,RAW_ORDERS!J248)</f>
        <v/>
      </c>
      <c r="D248">
        <f>IF(RAW_ORDERS!K248="%",RAW_ORDERS!H248*RAW_ORDERS!L248/100,RAW_ORDERS!L248)</f>
        <v/>
      </c>
      <c r="E248">
        <f>IF(RAW_ORDERS!M248="%",RAW_ORDERS!H248*RAW_ORDERS!N248/100,RAW_ORDERS!N248)</f>
        <v/>
      </c>
      <c r="F248">
        <f>D248-C248</f>
        <v/>
      </c>
      <c r="G248">
        <f>C248-E248</f>
        <v/>
      </c>
      <c r="H248">
        <f>F248+G248</f>
        <v/>
      </c>
    </row>
    <row r="249">
      <c r="A249">
        <f>RAW_ORDERS!A249</f>
        <v/>
      </c>
      <c r="B249">
        <f>RAW_ORDERS!H249</f>
        <v/>
      </c>
      <c r="C249">
        <f>IF(RAW_ORDERS!I249="%",RAW_ORDERS!H249*RAW_ORDERS!J249/100,RAW_ORDERS!J249)</f>
        <v/>
      </c>
      <c r="D249">
        <f>IF(RAW_ORDERS!K249="%",RAW_ORDERS!H249*RAW_ORDERS!L249/100,RAW_ORDERS!L249)</f>
        <v/>
      </c>
      <c r="E249">
        <f>IF(RAW_ORDERS!M249="%",RAW_ORDERS!H249*RAW_ORDERS!N249/100,RAW_ORDERS!N249)</f>
        <v/>
      </c>
      <c r="F249">
        <f>D249-C249</f>
        <v/>
      </c>
      <c r="G249">
        <f>C249-E249</f>
        <v/>
      </c>
      <c r="H249">
        <f>F249+G249</f>
        <v/>
      </c>
    </row>
    <row r="250">
      <c r="A250">
        <f>RAW_ORDERS!A250</f>
        <v/>
      </c>
      <c r="B250">
        <f>RAW_ORDERS!H250</f>
        <v/>
      </c>
      <c r="C250">
        <f>IF(RAW_ORDERS!I250="%",RAW_ORDERS!H250*RAW_ORDERS!J250/100,RAW_ORDERS!J250)</f>
        <v/>
      </c>
      <c r="D250">
        <f>IF(RAW_ORDERS!K250="%",RAW_ORDERS!H250*RAW_ORDERS!L250/100,RAW_ORDERS!L250)</f>
        <v/>
      </c>
      <c r="E250">
        <f>IF(RAW_ORDERS!M250="%",RAW_ORDERS!H250*RAW_ORDERS!N250/100,RAW_ORDERS!N250)</f>
        <v/>
      </c>
      <c r="F250">
        <f>D250-C250</f>
        <v/>
      </c>
      <c r="G250">
        <f>C250-E250</f>
        <v/>
      </c>
      <c r="H250">
        <f>F250+G250</f>
        <v/>
      </c>
    </row>
    <row r="251">
      <c r="A251">
        <f>RAW_ORDERS!A251</f>
        <v/>
      </c>
      <c r="B251">
        <f>RAW_ORDERS!H251</f>
        <v/>
      </c>
      <c r="C251">
        <f>IF(RAW_ORDERS!I251="%",RAW_ORDERS!H251*RAW_ORDERS!J251/100,RAW_ORDERS!J251)</f>
        <v/>
      </c>
      <c r="D251">
        <f>IF(RAW_ORDERS!K251="%",RAW_ORDERS!H251*RAW_ORDERS!L251/100,RAW_ORDERS!L251)</f>
        <v/>
      </c>
      <c r="E251">
        <f>IF(RAW_ORDERS!M251="%",RAW_ORDERS!H251*RAW_ORDERS!N251/100,RAW_ORDERS!N251)</f>
        <v/>
      </c>
      <c r="F251">
        <f>D251-C251</f>
        <v/>
      </c>
      <c r="G251">
        <f>C251-E251</f>
        <v/>
      </c>
      <c r="H251">
        <f>F251+G251</f>
        <v/>
      </c>
    </row>
    <row r="252">
      <c r="A252">
        <f>RAW_ORDERS!A252</f>
        <v/>
      </c>
      <c r="B252">
        <f>RAW_ORDERS!H252</f>
        <v/>
      </c>
      <c r="C252">
        <f>IF(RAW_ORDERS!I252="%",RAW_ORDERS!H252*RAW_ORDERS!J252/100,RAW_ORDERS!J252)</f>
        <v/>
      </c>
      <c r="D252">
        <f>IF(RAW_ORDERS!K252="%",RAW_ORDERS!H252*RAW_ORDERS!L252/100,RAW_ORDERS!L252)</f>
        <v/>
      </c>
      <c r="E252">
        <f>IF(RAW_ORDERS!M252="%",RAW_ORDERS!H252*RAW_ORDERS!N252/100,RAW_ORDERS!N252)</f>
        <v/>
      </c>
      <c r="F252">
        <f>D252-C252</f>
        <v/>
      </c>
      <c r="G252">
        <f>C252-E252</f>
        <v/>
      </c>
      <c r="H252">
        <f>F252+G252</f>
        <v/>
      </c>
    </row>
    <row r="253">
      <c r="A253">
        <f>RAW_ORDERS!A253</f>
        <v/>
      </c>
      <c r="B253">
        <f>RAW_ORDERS!H253</f>
        <v/>
      </c>
      <c r="C253">
        <f>IF(RAW_ORDERS!I253="%",RAW_ORDERS!H253*RAW_ORDERS!J253/100,RAW_ORDERS!J253)</f>
        <v/>
      </c>
      <c r="D253">
        <f>IF(RAW_ORDERS!K253="%",RAW_ORDERS!H253*RAW_ORDERS!L253/100,RAW_ORDERS!L253)</f>
        <v/>
      </c>
      <c r="E253">
        <f>IF(RAW_ORDERS!M253="%",RAW_ORDERS!H253*RAW_ORDERS!N253/100,RAW_ORDERS!N253)</f>
        <v/>
      </c>
      <c r="F253">
        <f>D253-C253</f>
        <v/>
      </c>
      <c r="G253">
        <f>C253-E253</f>
        <v/>
      </c>
      <c r="H253">
        <f>F253+G253</f>
        <v/>
      </c>
    </row>
    <row r="254">
      <c r="A254">
        <f>RAW_ORDERS!A254</f>
        <v/>
      </c>
      <c r="B254">
        <f>RAW_ORDERS!H254</f>
        <v/>
      </c>
      <c r="C254">
        <f>IF(RAW_ORDERS!I254="%",RAW_ORDERS!H254*RAW_ORDERS!J254/100,RAW_ORDERS!J254)</f>
        <v/>
      </c>
      <c r="D254">
        <f>IF(RAW_ORDERS!K254="%",RAW_ORDERS!H254*RAW_ORDERS!L254/100,RAW_ORDERS!L254)</f>
        <v/>
      </c>
      <c r="E254">
        <f>IF(RAW_ORDERS!M254="%",RAW_ORDERS!H254*RAW_ORDERS!N254/100,RAW_ORDERS!N254)</f>
        <v/>
      </c>
      <c r="F254">
        <f>D254-C254</f>
        <v/>
      </c>
      <c r="G254">
        <f>C254-E254</f>
        <v/>
      </c>
      <c r="H254">
        <f>F254+G254</f>
        <v/>
      </c>
    </row>
    <row r="255">
      <c r="A255">
        <f>RAW_ORDERS!A255</f>
        <v/>
      </c>
      <c r="B255">
        <f>RAW_ORDERS!H255</f>
        <v/>
      </c>
      <c r="C255">
        <f>IF(RAW_ORDERS!I255="%",RAW_ORDERS!H255*RAW_ORDERS!J255/100,RAW_ORDERS!J255)</f>
        <v/>
      </c>
      <c r="D255">
        <f>IF(RAW_ORDERS!K255="%",RAW_ORDERS!H255*RAW_ORDERS!L255/100,RAW_ORDERS!L255)</f>
        <v/>
      </c>
      <c r="E255">
        <f>IF(RAW_ORDERS!M255="%",RAW_ORDERS!H255*RAW_ORDERS!N255/100,RAW_ORDERS!N255)</f>
        <v/>
      </c>
      <c r="F255">
        <f>D255-C255</f>
        <v/>
      </c>
      <c r="G255">
        <f>C255-E255</f>
        <v/>
      </c>
      <c r="H255">
        <f>F255+G255</f>
        <v/>
      </c>
    </row>
    <row r="256">
      <c r="A256">
        <f>RAW_ORDERS!A256</f>
        <v/>
      </c>
      <c r="B256">
        <f>RAW_ORDERS!H256</f>
        <v/>
      </c>
      <c r="C256">
        <f>IF(RAW_ORDERS!I256="%",RAW_ORDERS!H256*RAW_ORDERS!J256/100,RAW_ORDERS!J256)</f>
        <v/>
      </c>
      <c r="D256">
        <f>IF(RAW_ORDERS!K256="%",RAW_ORDERS!H256*RAW_ORDERS!L256/100,RAW_ORDERS!L256)</f>
        <v/>
      </c>
      <c r="E256">
        <f>IF(RAW_ORDERS!M256="%",RAW_ORDERS!H256*RAW_ORDERS!N256/100,RAW_ORDERS!N256)</f>
        <v/>
      </c>
      <c r="F256">
        <f>D256-C256</f>
        <v/>
      </c>
      <c r="G256">
        <f>C256-E256</f>
        <v/>
      </c>
      <c r="H256">
        <f>F256+G256</f>
        <v/>
      </c>
    </row>
    <row r="257">
      <c r="A257">
        <f>RAW_ORDERS!A257</f>
        <v/>
      </c>
      <c r="B257">
        <f>RAW_ORDERS!H257</f>
        <v/>
      </c>
      <c r="C257">
        <f>IF(RAW_ORDERS!I257="%",RAW_ORDERS!H257*RAW_ORDERS!J257/100,RAW_ORDERS!J257)</f>
        <v/>
      </c>
      <c r="D257">
        <f>IF(RAW_ORDERS!K257="%",RAW_ORDERS!H257*RAW_ORDERS!L257/100,RAW_ORDERS!L257)</f>
        <v/>
      </c>
      <c r="E257">
        <f>IF(RAW_ORDERS!M257="%",RAW_ORDERS!H257*RAW_ORDERS!N257/100,RAW_ORDERS!N257)</f>
        <v/>
      </c>
      <c r="F257">
        <f>D257-C257</f>
        <v/>
      </c>
      <c r="G257">
        <f>C257-E257</f>
        <v/>
      </c>
      <c r="H257">
        <f>F257+G257</f>
        <v/>
      </c>
    </row>
    <row r="258">
      <c r="A258">
        <f>RAW_ORDERS!A258</f>
        <v/>
      </c>
      <c r="B258">
        <f>RAW_ORDERS!H258</f>
        <v/>
      </c>
      <c r="C258">
        <f>IF(RAW_ORDERS!I258="%",RAW_ORDERS!H258*RAW_ORDERS!J258/100,RAW_ORDERS!J258)</f>
        <v/>
      </c>
      <c r="D258">
        <f>IF(RAW_ORDERS!K258="%",RAW_ORDERS!H258*RAW_ORDERS!L258/100,RAW_ORDERS!L258)</f>
        <v/>
      </c>
      <c r="E258">
        <f>IF(RAW_ORDERS!M258="%",RAW_ORDERS!H258*RAW_ORDERS!N258/100,RAW_ORDERS!N258)</f>
        <v/>
      </c>
      <c r="F258">
        <f>D258-C258</f>
        <v/>
      </c>
      <c r="G258">
        <f>C258-E258</f>
        <v/>
      </c>
      <c r="H258">
        <f>F258+G258</f>
        <v/>
      </c>
    </row>
    <row r="259">
      <c r="A259">
        <f>RAW_ORDERS!A259</f>
        <v/>
      </c>
      <c r="B259">
        <f>RAW_ORDERS!H259</f>
        <v/>
      </c>
      <c r="C259">
        <f>IF(RAW_ORDERS!I259="%",RAW_ORDERS!H259*RAW_ORDERS!J259/100,RAW_ORDERS!J259)</f>
        <v/>
      </c>
      <c r="D259">
        <f>IF(RAW_ORDERS!K259="%",RAW_ORDERS!H259*RAW_ORDERS!L259/100,RAW_ORDERS!L259)</f>
        <v/>
      </c>
      <c r="E259">
        <f>IF(RAW_ORDERS!M259="%",RAW_ORDERS!H259*RAW_ORDERS!N259/100,RAW_ORDERS!N259)</f>
        <v/>
      </c>
      <c r="F259">
        <f>D259-C259</f>
        <v/>
      </c>
      <c r="G259">
        <f>C259-E259</f>
        <v/>
      </c>
      <c r="H259">
        <f>F259+G259</f>
        <v/>
      </c>
    </row>
    <row r="260">
      <c r="A260">
        <f>RAW_ORDERS!A260</f>
        <v/>
      </c>
      <c r="B260">
        <f>RAW_ORDERS!H260</f>
        <v/>
      </c>
      <c r="C260">
        <f>IF(RAW_ORDERS!I260="%",RAW_ORDERS!H260*RAW_ORDERS!J260/100,RAW_ORDERS!J260)</f>
        <v/>
      </c>
      <c r="D260">
        <f>IF(RAW_ORDERS!K260="%",RAW_ORDERS!H260*RAW_ORDERS!L260/100,RAW_ORDERS!L260)</f>
        <v/>
      </c>
      <c r="E260">
        <f>IF(RAW_ORDERS!M260="%",RAW_ORDERS!H260*RAW_ORDERS!N260/100,RAW_ORDERS!N260)</f>
        <v/>
      </c>
      <c r="F260">
        <f>D260-C260</f>
        <v/>
      </c>
      <c r="G260">
        <f>C260-E260</f>
        <v/>
      </c>
      <c r="H260">
        <f>F260+G260</f>
        <v/>
      </c>
    </row>
    <row r="261">
      <c r="A261">
        <f>RAW_ORDERS!A261</f>
        <v/>
      </c>
      <c r="B261">
        <f>RAW_ORDERS!H261</f>
        <v/>
      </c>
      <c r="C261">
        <f>IF(RAW_ORDERS!I261="%",RAW_ORDERS!H261*RAW_ORDERS!J261/100,RAW_ORDERS!J261)</f>
        <v/>
      </c>
      <c r="D261">
        <f>IF(RAW_ORDERS!K261="%",RAW_ORDERS!H261*RAW_ORDERS!L261/100,RAW_ORDERS!L261)</f>
        <v/>
      </c>
      <c r="E261">
        <f>IF(RAW_ORDERS!M261="%",RAW_ORDERS!H261*RAW_ORDERS!N261/100,RAW_ORDERS!N261)</f>
        <v/>
      </c>
      <c r="F261">
        <f>D261-C261</f>
        <v/>
      </c>
      <c r="G261">
        <f>C261-E261</f>
        <v/>
      </c>
      <c r="H261">
        <f>F261+G261</f>
        <v/>
      </c>
    </row>
    <row r="262">
      <c r="A262">
        <f>RAW_ORDERS!A262</f>
        <v/>
      </c>
      <c r="B262">
        <f>RAW_ORDERS!H262</f>
        <v/>
      </c>
      <c r="C262">
        <f>IF(RAW_ORDERS!I262="%",RAW_ORDERS!H262*RAW_ORDERS!J262/100,RAW_ORDERS!J262)</f>
        <v/>
      </c>
      <c r="D262">
        <f>IF(RAW_ORDERS!K262="%",RAW_ORDERS!H262*RAW_ORDERS!L262/100,RAW_ORDERS!L262)</f>
        <v/>
      </c>
      <c r="E262">
        <f>IF(RAW_ORDERS!M262="%",RAW_ORDERS!H262*RAW_ORDERS!N262/100,RAW_ORDERS!N262)</f>
        <v/>
      </c>
      <c r="F262">
        <f>D262-C262</f>
        <v/>
      </c>
      <c r="G262">
        <f>C262-E262</f>
        <v/>
      </c>
      <c r="H262">
        <f>F262+G262</f>
        <v/>
      </c>
    </row>
    <row r="263">
      <c r="A263">
        <f>RAW_ORDERS!A263</f>
        <v/>
      </c>
      <c r="B263">
        <f>RAW_ORDERS!H263</f>
        <v/>
      </c>
      <c r="C263">
        <f>IF(RAW_ORDERS!I263="%",RAW_ORDERS!H263*RAW_ORDERS!J263/100,RAW_ORDERS!J263)</f>
        <v/>
      </c>
      <c r="D263">
        <f>IF(RAW_ORDERS!K263="%",RAW_ORDERS!H263*RAW_ORDERS!L263/100,RAW_ORDERS!L263)</f>
        <v/>
      </c>
      <c r="E263">
        <f>IF(RAW_ORDERS!M263="%",RAW_ORDERS!H263*RAW_ORDERS!N263/100,RAW_ORDERS!N263)</f>
        <v/>
      </c>
      <c r="F263">
        <f>D263-C263</f>
        <v/>
      </c>
      <c r="G263">
        <f>C263-E263</f>
        <v/>
      </c>
      <c r="H263">
        <f>F263+G263</f>
        <v/>
      </c>
    </row>
    <row r="264">
      <c r="A264">
        <f>RAW_ORDERS!A264</f>
        <v/>
      </c>
      <c r="B264">
        <f>RAW_ORDERS!H264</f>
        <v/>
      </c>
      <c r="C264">
        <f>IF(RAW_ORDERS!I264="%",RAW_ORDERS!H264*RAW_ORDERS!J264/100,RAW_ORDERS!J264)</f>
        <v/>
      </c>
      <c r="D264">
        <f>IF(RAW_ORDERS!K264="%",RAW_ORDERS!H264*RAW_ORDERS!L264/100,RAW_ORDERS!L264)</f>
        <v/>
      </c>
      <c r="E264">
        <f>IF(RAW_ORDERS!M264="%",RAW_ORDERS!H264*RAW_ORDERS!N264/100,RAW_ORDERS!N264)</f>
        <v/>
      </c>
      <c r="F264">
        <f>D264-C264</f>
        <v/>
      </c>
      <c r="G264">
        <f>C264-E264</f>
        <v/>
      </c>
      <c r="H264">
        <f>F264+G264</f>
        <v/>
      </c>
    </row>
    <row r="265">
      <c r="A265">
        <f>RAW_ORDERS!A265</f>
        <v/>
      </c>
      <c r="B265">
        <f>RAW_ORDERS!H265</f>
        <v/>
      </c>
      <c r="C265">
        <f>IF(RAW_ORDERS!I265="%",RAW_ORDERS!H265*RAW_ORDERS!J265/100,RAW_ORDERS!J265)</f>
        <v/>
      </c>
      <c r="D265">
        <f>IF(RAW_ORDERS!K265="%",RAW_ORDERS!H265*RAW_ORDERS!L265/100,RAW_ORDERS!L265)</f>
        <v/>
      </c>
      <c r="E265">
        <f>IF(RAW_ORDERS!M265="%",RAW_ORDERS!H265*RAW_ORDERS!N265/100,RAW_ORDERS!N265)</f>
        <v/>
      </c>
      <c r="F265">
        <f>D265-C265</f>
        <v/>
      </c>
      <c r="G265">
        <f>C265-E265</f>
        <v/>
      </c>
      <c r="H265">
        <f>F265+G265</f>
        <v/>
      </c>
    </row>
    <row r="266">
      <c r="A266">
        <f>RAW_ORDERS!A266</f>
        <v/>
      </c>
      <c r="B266">
        <f>RAW_ORDERS!H266</f>
        <v/>
      </c>
      <c r="C266">
        <f>IF(RAW_ORDERS!I266="%",RAW_ORDERS!H266*RAW_ORDERS!J266/100,RAW_ORDERS!J266)</f>
        <v/>
      </c>
      <c r="D266">
        <f>IF(RAW_ORDERS!K266="%",RAW_ORDERS!H266*RAW_ORDERS!L266/100,RAW_ORDERS!L266)</f>
        <v/>
      </c>
      <c r="E266">
        <f>IF(RAW_ORDERS!M266="%",RAW_ORDERS!H266*RAW_ORDERS!N266/100,RAW_ORDERS!N266)</f>
        <v/>
      </c>
      <c r="F266">
        <f>D266-C266</f>
        <v/>
      </c>
      <c r="G266">
        <f>C266-E266</f>
        <v/>
      </c>
      <c r="H266">
        <f>F266+G266</f>
        <v/>
      </c>
    </row>
    <row r="267">
      <c r="A267">
        <f>RAW_ORDERS!A267</f>
        <v/>
      </c>
      <c r="B267">
        <f>RAW_ORDERS!H267</f>
        <v/>
      </c>
      <c r="C267">
        <f>IF(RAW_ORDERS!I267="%",RAW_ORDERS!H267*RAW_ORDERS!J267/100,RAW_ORDERS!J267)</f>
        <v/>
      </c>
      <c r="D267">
        <f>IF(RAW_ORDERS!K267="%",RAW_ORDERS!H267*RAW_ORDERS!L267/100,RAW_ORDERS!L267)</f>
        <v/>
      </c>
      <c r="E267">
        <f>IF(RAW_ORDERS!M267="%",RAW_ORDERS!H267*RAW_ORDERS!N267/100,RAW_ORDERS!N267)</f>
        <v/>
      </c>
      <c r="F267">
        <f>D267-C267</f>
        <v/>
      </c>
      <c r="G267">
        <f>C267-E267</f>
        <v/>
      </c>
      <c r="H267">
        <f>F267+G267</f>
        <v/>
      </c>
    </row>
    <row r="268">
      <c r="A268">
        <f>RAW_ORDERS!A268</f>
        <v/>
      </c>
      <c r="B268">
        <f>RAW_ORDERS!H268</f>
        <v/>
      </c>
      <c r="C268">
        <f>IF(RAW_ORDERS!I268="%",RAW_ORDERS!H268*RAW_ORDERS!J268/100,RAW_ORDERS!J268)</f>
        <v/>
      </c>
      <c r="D268">
        <f>IF(RAW_ORDERS!K268="%",RAW_ORDERS!H268*RAW_ORDERS!L268/100,RAW_ORDERS!L268)</f>
        <v/>
      </c>
      <c r="E268">
        <f>IF(RAW_ORDERS!M268="%",RAW_ORDERS!H268*RAW_ORDERS!N268/100,RAW_ORDERS!N268)</f>
        <v/>
      </c>
      <c r="F268">
        <f>D268-C268</f>
        <v/>
      </c>
      <c r="G268">
        <f>C268-E268</f>
        <v/>
      </c>
      <c r="H268">
        <f>F268+G268</f>
        <v/>
      </c>
    </row>
    <row r="269">
      <c r="A269">
        <f>RAW_ORDERS!A269</f>
        <v/>
      </c>
      <c r="B269">
        <f>RAW_ORDERS!H269</f>
        <v/>
      </c>
      <c r="C269">
        <f>IF(RAW_ORDERS!I269="%",RAW_ORDERS!H269*RAW_ORDERS!J269/100,RAW_ORDERS!J269)</f>
        <v/>
      </c>
      <c r="D269">
        <f>IF(RAW_ORDERS!K269="%",RAW_ORDERS!H269*RAW_ORDERS!L269/100,RAW_ORDERS!L269)</f>
        <v/>
      </c>
      <c r="E269">
        <f>IF(RAW_ORDERS!M269="%",RAW_ORDERS!H269*RAW_ORDERS!N269/100,RAW_ORDERS!N269)</f>
        <v/>
      </c>
      <c r="F269">
        <f>D269-C269</f>
        <v/>
      </c>
      <c r="G269">
        <f>C269-E269</f>
        <v/>
      </c>
      <c r="H269">
        <f>F269+G269</f>
        <v/>
      </c>
    </row>
    <row r="270">
      <c r="A270">
        <f>RAW_ORDERS!A270</f>
        <v/>
      </c>
      <c r="B270">
        <f>RAW_ORDERS!H270</f>
        <v/>
      </c>
      <c r="C270">
        <f>IF(RAW_ORDERS!I270="%",RAW_ORDERS!H270*RAW_ORDERS!J270/100,RAW_ORDERS!J270)</f>
        <v/>
      </c>
      <c r="D270">
        <f>IF(RAW_ORDERS!K270="%",RAW_ORDERS!H270*RAW_ORDERS!L270/100,RAW_ORDERS!L270)</f>
        <v/>
      </c>
      <c r="E270">
        <f>IF(RAW_ORDERS!M270="%",RAW_ORDERS!H270*RAW_ORDERS!N270/100,RAW_ORDERS!N270)</f>
        <v/>
      </c>
      <c r="F270">
        <f>D270-C270</f>
        <v/>
      </c>
      <c r="G270">
        <f>C270-E270</f>
        <v/>
      </c>
      <c r="H270">
        <f>F270+G270</f>
        <v/>
      </c>
    </row>
    <row r="271">
      <c r="A271">
        <f>RAW_ORDERS!A271</f>
        <v/>
      </c>
      <c r="B271">
        <f>RAW_ORDERS!H271</f>
        <v/>
      </c>
      <c r="C271">
        <f>IF(RAW_ORDERS!I271="%",RAW_ORDERS!H271*RAW_ORDERS!J271/100,RAW_ORDERS!J271)</f>
        <v/>
      </c>
      <c r="D271">
        <f>IF(RAW_ORDERS!K271="%",RAW_ORDERS!H271*RAW_ORDERS!L271/100,RAW_ORDERS!L271)</f>
        <v/>
      </c>
      <c r="E271">
        <f>IF(RAW_ORDERS!M271="%",RAW_ORDERS!H271*RAW_ORDERS!N271/100,RAW_ORDERS!N271)</f>
        <v/>
      </c>
      <c r="F271">
        <f>D271-C271</f>
        <v/>
      </c>
      <c r="G271">
        <f>C271-E271</f>
        <v/>
      </c>
      <c r="H271">
        <f>F271+G271</f>
        <v/>
      </c>
    </row>
    <row r="272">
      <c r="A272">
        <f>RAW_ORDERS!A272</f>
        <v/>
      </c>
      <c r="B272">
        <f>RAW_ORDERS!H272</f>
        <v/>
      </c>
      <c r="C272">
        <f>IF(RAW_ORDERS!I272="%",RAW_ORDERS!H272*RAW_ORDERS!J272/100,RAW_ORDERS!J272)</f>
        <v/>
      </c>
      <c r="D272">
        <f>IF(RAW_ORDERS!K272="%",RAW_ORDERS!H272*RAW_ORDERS!L272/100,RAW_ORDERS!L272)</f>
        <v/>
      </c>
      <c r="E272">
        <f>IF(RAW_ORDERS!M272="%",RAW_ORDERS!H272*RAW_ORDERS!N272/100,RAW_ORDERS!N272)</f>
        <v/>
      </c>
      <c r="F272">
        <f>D272-C272</f>
        <v/>
      </c>
      <c r="G272">
        <f>C272-E272</f>
        <v/>
      </c>
      <c r="H272">
        <f>F272+G272</f>
        <v/>
      </c>
    </row>
    <row r="273">
      <c r="A273">
        <f>RAW_ORDERS!A273</f>
        <v/>
      </c>
      <c r="B273">
        <f>RAW_ORDERS!H273</f>
        <v/>
      </c>
      <c r="C273">
        <f>IF(RAW_ORDERS!I273="%",RAW_ORDERS!H273*RAW_ORDERS!J273/100,RAW_ORDERS!J273)</f>
        <v/>
      </c>
      <c r="D273">
        <f>IF(RAW_ORDERS!K273="%",RAW_ORDERS!H273*RAW_ORDERS!L273/100,RAW_ORDERS!L273)</f>
        <v/>
      </c>
      <c r="E273">
        <f>IF(RAW_ORDERS!M273="%",RAW_ORDERS!H273*RAW_ORDERS!N273/100,RAW_ORDERS!N273)</f>
        <v/>
      </c>
      <c r="F273">
        <f>D273-C273</f>
        <v/>
      </c>
      <c r="G273">
        <f>C273-E273</f>
        <v/>
      </c>
      <c r="H273">
        <f>F273+G273</f>
        <v/>
      </c>
    </row>
    <row r="274">
      <c r="A274">
        <f>RAW_ORDERS!A274</f>
        <v/>
      </c>
      <c r="B274">
        <f>RAW_ORDERS!H274</f>
        <v/>
      </c>
      <c r="C274">
        <f>IF(RAW_ORDERS!I274="%",RAW_ORDERS!H274*RAW_ORDERS!J274/100,RAW_ORDERS!J274)</f>
        <v/>
      </c>
      <c r="D274">
        <f>IF(RAW_ORDERS!K274="%",RAW_ORDERS!H274*RAW_ORDERS!L274/100,RAW_ORDERS!L274)</f>
        <v/>
      </c>
      <c r="E274">
        <f>IF(RAW_ORDERS!M274="%",RAW_ORDERS!H274*RAW_ORDERS!N274/100,RAW_ORDERS!N274)</f>
        <v/>
      </c>
      <c r="F274">
        <f>D274-C274</f>
        <v/>
      </c>
      <c r="G274">
        <f>C274-E274</f>
        <v/>
      </c>
      <c r="H274">
        <f>F274+G274</f>
        <v/>
      </c>
    </row>
    <row r="275">
      <c r="A275">
        <f>RAW_ORDERS!A275</f>
        <v/>
      </c>
      <c r="B275">
        <f>RAW_ORDERS!H275</f>
        <v/>
      </c>
      <c r="C275">
        <f>IF(RAW_ORDERS!I275="%",RAW_ORDERS!H275*RAW_ORDERS!J275/100,RAW_ORDERS!J275)</f>
        <v/>
      </c>
      <c r="D275">
        <f>IF(RAW_ORDERS!K275="%",RAW_ORDERS!H275*RAW_ORDERS!L275/100,RAW_ORDERS!L275)</f>
        <v/>
      </c>
      <c r="E275">
        <f>IF(RAW_ORDERS!M275="%",RAW_ORDERS!H275*RAW_ORDERS!N275/100,RAW_ORDERS!N275)</f>
        <v/>
      </c>
      <c r="F275">
        <f>D275-C275</f>
        <v/>
      </c>
      <c r="G275">
        <f>C275-E275</f>
        <v/>
      </c>
      <c r="H275">
        <f>F275+G275</f>
        <v/>
      </c>
    </row>
    <row r="276">
      <c r="A276">
        <f>RAW_ORDERS!A276</f>
        <v/>
      </c>
      <c r="B276">
        <f>RAW_ORDERS!H276</f>
        <v/>
      </c>
      <c r="C276">
        <f>IF(RAW_ORDERS!I276="%",RAW_ORDERS!H276*RAW_ORDERS!J276/100,RAW_ORDERS!J276)</f>
        <v/>
      </c>
      <c r="D276">
        <f>IF(RAW_ORDERS!K276="%",RAW_ORDERS!H276*RAW_ORDERS!L276/100,RAW_ORDERS!L276)</f>
        <v/>
      </c>
      <c r="E276">
        <f>IF(RAW_ORDERS!M276="%",RAW_ORDERS!H276*RAW_ORDERS!N276/100,RAW_ORDERS!N276)</f>
        <v/>
      </c>
      <c r="F276">
        <f>D276-C276</f>
        <v/>
      </c>
      <c r="G276">
        <f>C276-E276</f>
        <v/>
      </c>
      <c r="H276">
        <f>F276+G276</f>
        <v/>
      </c>
    </row>
    <row r="277">
      <c r="A277">
        <f>RAW_ORDERS!A277</f>
        <v/>
      </c>
      <c r="B277">
        <f>RAW_ORDERS!H277</f>
        <v/>
      </c>
      <c r="C277">
        <f>IF(RAW_ORDERS!I277="%",RAW_ORDERS!H277*RAW_ORDERS!J277/100,RAW_ORDERS!J277)</f>
        <v/>
      </c>
      <c r="D277">
        <f>IF(RAW_ORDERS!K277="%",RAW_ORDERS!H277*RAW_ORDERS!L277/100,RAW_ORDERS!L277)</f>
        <v/>
      </c>
      <c r="E277">
        <f>IF(RAW_ORDERS!M277="%",RAW_ORDERS!H277*RAW_ORDERS!N277/100,RAW_ORDERS!N277)</f>
        <v/>
      </c>
      <c r="F277">
        <f>D277-C277</f>
        <v/>
      </c>
      <c r="G277">
        <f>C277-E277</f>
        <v/>
      </c>
      <c r="H277">
        <f>F277+G277</f>
        <v/>
      </c>
    </row>
    <row r="278">
      <c r="A278">
        <f>RAW_ORDERS!A278</f>
        <v/>
      </c>
      <c r="B278">
        <f>RAW_ORDERS!H278</f>
        <v/>
      </c>
      <c r="C278">
        <f>IF(RAW_ORDERS!I278="%",RAW_ORDERS!H278*RAW_ORDERS!J278/100,RAW_ORDERS!J278)</f>
        <v/>
      </c>
      <c r="D278">
        <f>IF(RAW_ORDERS!K278="%",RAW_ORDERS!H278*RAW_ORDERS!L278/100,RAW_ORDERS!L278)</f>
        <v/>
      </c>
      <c r="E278">
        <f>IF(RAW_ORDERS!M278="%",RAW_ORDERS!H278*RAW_ORDERS!N278/100,RAW_ORDERS!N278)</f>
        <v/>
      </c>
      <c r="F278">
        <f>D278-C278</f>
        <v/>
      </c>
      <c r="G278">
        <f>C278-E278</f>
        <v/>
      </c>
      <c r="H278">
        <f>F278+G278</f>
        <v/>
      </c>
    </row>
    <row r="279">
      <c r="A279">
        <f>RAW_ORDERS!A279</f>
        <v/>
      </c>
      <c r="B279">
        <f>RAW_ORDERS!H279</f>
        <v/>
      </c>
      <c r="C279">
        <f>IF(RAW_ORDERS!I279="%",RAW_ORDERS!H279*RAW_ORDERS!J279/100,RAW_ORDERS!J279)</f>
        <v/>
      </c>
      <c r="D279">
        <f>IF(RAW_ORDERS!K279="%",RAW_ORDERS!H279*RAW_ORDERS!L279/100,RAW_ORDERS!L279)</f>
        <v/>
      </c>
      <c r="E279">
        <f>IF(RAW_ORDERS!M279="%",RAW_ORDERS!H279*RAW_ORDERS!N279/100,RAW_ORDERS!N279)</f>
        <v/>
      </c>
      <c r="F279">
        <f>D279-C279</f>
        <v/>
      </c>
      <c r="G279">
        <f>C279-E279</f>
        <v/>
      </c>
      <c r="H279">
        <f>F279+G279</f>
        <v/>
      </c>
    </row>
    <row r="280">
      <c r="A280">
        <f>RAW_ORDERS!A280</f>
        <v/>
      </c>
      <c r="B280">
        <f>RAW_ORDERS!H280</f>
        <v/>
      </c>
      <c r="C280">
        <f>IF(RAW_ORDERS!I280="%",RAW_ORDERS!H280*RAW_ORDERS!J280/100,RAW_ORDERS!J280)</f>
        <v/>
      </c>
      <c r="D280">
        <f>IF(RAW_ORDERS!K280="%",RAW_ORDERS!H280*RAW_ORDERS!L280/100,RAW_ORDERS!L280)</f>
        <v/>
      </c>
      <c r="E280">
        <f>IF(RAW_ORDERS!M280="%",RAW_ORDERS!H280*RAW_ORDERS!N280/100,RAW_ORDERS!N280)</f>
        <v/>
      </c>
      <c r="F280">
        <f>D280-C280</f>
        <v/>
      </c>
      <c r="G280">
        <f>C280-E280</f>
        <v/>
      </c>
      <c r="H280">
        <f>F280+G280</f>
        <v/>
      </c>
    </row>
    <row r="281">
      <c r="A281">
        <f>RAW_ORDERS!A281</f>
        <v/>
      </c>
      <c r="B281">
        <f>RAW_ORDERS!H281</f>
        <v/>
      </c>
      <c r="C281">
        <f>IF(RAW_ORDERS!I281="%",RAW_ORDERS!H281*RAW_ORDERS!J281/100,RAW_ORDERS!J281)</f>
        <v/>
      </c>
      <c r="D281">
        <f>IF(RAW_ORDERS!K281="%",RAW_ORDERS!H281*RAW_ORDERS!L281/100,RAW_ORDERS!L281)</f>
        <v/>
      </c>
      <c r="E281">
        <f>IF(RAW_ORDERS!M281="%",RAW_ORDERS!H281*RAW_ORDERS!N281/100,RAW_ORDERS!N281)</f>
        <v/>
      </c>
      <c r="F281">
        <f>D281-C281</f>
        <v/>
      </c>
      <c r="G281">
        <f>C281-E281</f>
        <v/>
      </c>
      <c r="H281">
        <f>F281+G281</f>
        <v/>
      </c>
    </row>
    <row r="282">
      <c r="A282">
        <f>RAW_ORDERS!A282</f>
        <v/>
      </c>
      <c r="B282">
        <f>RAW_ORDERS!H282</f>
        <v/>
      </c>
      <c r="C282">
        <f>IF(RAW_ORDERS!I282="%",RAW_ORDERS!H282*RAW_ORDERS!J282/100,RAW_ORDERS!J282)</f>
        <v/>
      </c>
      <c r="D282">
        <f>IF(RAW_ORDERS!K282="%",RAW_ORDERS!H282*RAW_ORDERS!L282/100,RAW_ORDERS!L282)</f>
        <v/>
      </c>
      <c r="E282">
        <f>IF(RAW_ORDERS!M282="%",RAW_ORDERS!H282*RAW_ORDERS!N282/100,RAW_ORDERS!N282)</f>
        <v/>
      </c>
      <c r="F282">
        <f>D282-C282</f>
        <v/>
      </c>
      <c r="G282">
        <f>C282-E282</f>
        <v/>
      </c>
      <c r="H282">
        <f>F282+G282</f>
        <v/>
      </c>
    </row>
    <row r="283">
      <c r="A283">
        <f>RAW_ORDERS!A283</f>
        <v/>
      </c>
      <c r="B283">
        <f>RAW_ORDERS!H283</f>
        <v/>
      </c>
      <c r="C283">
        <f>IF(RAW_ORDERS!I283="%",RAW_ORDERS!H283*RAW_ORDERS!J283/100,RAW_ORDERS!J283)</f>
        <v/>
      </c>
      <c r="D283">
        <f>IF(RAW_ORDERS!K283="%",RAW_ORDERS!H283*RAW_ORDERS!L283/100,RAW_ORDERS!L283)</f>
        <v/>
      </c>
      <c r="E283">
        <f>IF(RAW_ORDERS!M283="%",RAW_ORDERS!H283*RAW_ORDERS!N283/100,RAW_ORDERS!N283)</f>
        <v/>
      </c>
      <c r="F283">
        <f>D283-C283</f>
        <v/>
      </c>
      <c r="G283">
        <f>C283-E283</f>
        <v/>
      </c>
      <c r="H283">
        <f>F283+G283</f>
        <v/>
      </c>
    </row>
    <row r="284">
      <c r="A284">
        <f>RAW_ORDERS!A284</f>
        <v/>
      </c>
      <c r="B284">
        <f>RAW_ORDERS!H284</f>
        <v/>
      </c>
      <c r="C284">
        <f>IF(RAW_ORDERS!I284="%",RAW_ORDERS!H284*RAW_ORDERS!J284/100,RAW_ORDERS!J284)</f>
        <v/>
      </c>
      <c r="D284">
        <f>IF(RAW_ORDERS!K284="%",RAW_ORDERS!H284*RAW_ORDERS!L284/100,RAW_ORDERS!L284)</f>
        <v/>
      </c>
      <c r="E284">
        <f>IF(RAW_ORDERS!M284="%",RAW_ORDERS!H284*RAW_ORDERS!N284/100,RAW_ORDERS!N284)</f>
        <v/>
      </c>
      <c r="F284">
        <f>D284-C284</f>
        <v/>
      </c>
      <c r="G284">
        <f>C284-E284</f>
        <v/>
      </c>
      <c r="H284">
        <f>F284+G284</f>
        <v/>
      </c>
    </row>
    <row r="285">
      <c r="A285">
        <f>RAW_ORDERS!A285</f>
        <v/>
      </c>
      <c r="B285">
        <f>RAW_ORDERS!H285</f>
        <v/>
      </c>
      <c r="C285">
        <f>IF(RAW_ORDERS!I285="%",RAW_ORDERS!H285*RAW_ORDERS!J285/100,RAW_ORDERS!J285)</f>
        <v/>
      </c>
      <c r="D285">
        <f>IF(RAW_ORDERS!K285="%",RAW_ORDERS!H285*RAW_ORDERS!L285/100,RAW_ORDERS!L285)</f>
        <v/>
      </c>
      <c r="E285">
        <f>IF(RAW_ORDERS!M285="%",RAW_ORDERS!H285*RAW_ORDERS!N285/100,RAW_ORDERS!N285)</f>
        <v/>
      </c>
      <c r="F285">
        <f>D285-C285</f>
        <v/>
      </c>
      <c r="G285">
        <f>C285-E285</f>
        <v/>
      </c>
      <c r="H285">
        <f>F285+G285</f>
        <v/>
      </c>
    </row>
    <row r="286">
      <c r="A286">
        <f>RAW_ORDERS!A286</f>
        <v/>
      </c>
      <c r="B286">
        <f>RAW_ORDERS!H286</f>
        <v/>
      </c>
      <c r="C286">
        <f>IF(RAW_ORDERS!I286="%",RAW_ORDERS!H286*RAW_ORDERS!J286/100,RAW_ORDERS!J286)</f>
        <v/>
      </c>
      <c r="D286">
        <f>IF(RAW_ORDERS!K286="%",RAW_ORDERS!H286*RAW_ORDERS!L286/100,RAW_ORDERS!L286)</f>
        <v/>
      </c>
      <c r="E286">
        <f>IF(RAW_ORDERS!M286="%",RAW_ORDERS!H286*RAW_ORDERS!N286/100,RAW_ORDERS!N286)</f>
        <v/>
      </c>
      <c r="F286">
        <f>D286-C286</f>
        <v/>
      </c>
      <c r="G286">
        <f>C286-E286</f>
        <v/>
      </c>
      <c r="H286">
        <f>F286+G286</f>
        <v/>
      </c>
    </row>
    <row r="287">
      <c r="A287">
        <f>RAW_ORDERS!A287</f>
        <v/>
      </c>
      <c r="B287">
        <f>RAW_ORDERS!H287</f>
        <v/>
      </c>
      <c r="C287">
        <f>IF(RAW_ORDERS!I287="%",RAW_ORDERS!H287*RAW_ORDERS!J287/100,RAW_ORDERS!J287)</f>
        <v/>
      </c>
      <c r="D287">
        <f>IF(RAW_ORDERS!K287="%",RAW_ORDERS!H287*RAW_ORDERS!L287/100,RAW_ORDERS!L287)</f>
        <v/>
      </c>
      <c r="E287">
        <f>IF(RAW_ORDERS!M287="%",RAW_ORDERS!H287*RAW_ORDERS!N287/100,RAW_ORDERS!N287)</f>
        <v/>
      </c>
      <c r="F287">
        <f>D287-C287</f>
        <v/>
      </c>
      <c r="G287">
        <f>C287-E287</f>
        <v/>
      </c>
      <c r="H287">
        <f>F287+G287</f>
        <v/>
      </c>
    </row>
    <row r="288">
      <c r="A288">
        <f>RAW_ORDERS!A288</f>
        <v/>
      </c>
      <c r="B288">
        <f>RAW_ORDERS!H288</f>
        <v/>
      </c>
      <c r="C288">
        <f>IF(RAW_ORDERS!I288="%",RAW_ORDERS!H288*RAW_ORDERS!J288/100,RAW_ORDERS!J288)</f>
        <v/>
      </c>
      <c r="D288">
        <f>IF(RAW_ORDERS!K288="%",RAW_ORDERS!H288*RAW_ORDERS!L288/100,RAW_ORDERS!L288)</f>
        <v/>
      </c>
      <c r="E288">
        <f>IF(RAW_ORDERS!M288="%",RAW_ORDERS!H288*RAW_ORDERS!N288/100,RAW_ORDERS!N288)</f>
        <v/>
      </c>
      <c r="F288">
        <f>D288-C288</f>
        <v/>
      </c>
      <c r="G288">
        <f>C288-E288</f>
        <v/>
      </c>
      <c r="H288">
        <f>F288+G288</f>
        <v/>
      </c>
    </row>
    <row r="289">
      <c r="A289">
        <f>RAW_ORDERS!A289</f>
        <v/>
      </c>
      <c r="B289">
        <f>RAW_ORDERS!H289</f>
        <v/>
      </c>
      <c r="C289">
        <f>IF(RAW_ORDERS!I289="%",RAW_ORDERS!H289*RAW_ORDERS!J289/100,RAW_ORDERS!J289)</f>
        <v/>
      </c>
      <c r="D289">
        <f>IF(RAW_ORDERS!K289="%",RAW_ORDERS!H289*RAW_ORDERS!L289/100,RAW_ORDERS!L289)</f>
        <v/>
      </c>
      <c r="E289">
        <f>IF(RAW_ORDERS!M289="%",RAW_ORDERS!H289*RAW_ORDERS!N289/100,RAW_ORDERS!N289)</f>
        <v/>
      </c>
      <c r="F289">
        <f>D289-C289</f>
        <v/>
      </c>
      <c r="G289">
        <f>C289-E289</f>
        <v/>
      </c>
      <c r="H289">
        <f>F289+G289</f>
        <v/>
      </c>
    </row>
    <row r="290">
      <c r="A290">
        <f>RAW_ORDERS!A290</f>
        <v/>
      </c>
      <c r="B290">
        <f>RAW_ORDERS!H290</f>
        <v/>
      </c>
      <c r="C290">
        <f>IF(RAW_ORDERS!I290="%",RAW_ORDERS!H290*RAW_ORDERS!J290/100,RAW_ORDERS!J290)</f>
        <v/>
      </c>
      <c r="D290">
        <f>IF(RAW_ORDERS!K290="%",RAW_ORDERS!H290*RAW_ORDERS!L290/100,RAW_ORDERS!L290)</f>
        <v/>
      </c>
      <c r="E290">
        <f>IF(RAW_ORDERS!M290="%",RAW_ORDERS!H290*RAW_ORDERS!N290/100,RAW_ORDERS!N290)</f>
        <v/>
      </c>
      <c r="F290">
        <f>D290-C290</f>
        <v/>
      </c>
      <c r="G290">
        <f>C290-E290</f>
        <v/>
      </c>
      <c r="H290">
        <f>F290+G290</f>
        <v/>
      </c>
    </row>
    <row r="291">
      <c r="A291">
        <f>RAW_ORDERS!A291</f>
        <v/>
      </c>
      <c r="B291">
        <f>RAW_ORDERS!H291</f>
        <v/>
      </c>
      <c r="C291">
        <f>IF(RAW_ORDERS!I291="%",RAW_ORDERS!H291*RAW_ORDERS!J291/100,RAW_ORDERS!J291)</f>
        <v/>
      </c>
      <c r="D291">
        <f>IF(RAW_ORDERS!K291="%",RAW_ORDERS!H291*RAW_ORDERS!L291/100,RAW_ORDERS!L291)</f>
        <v/>
      </c>
      <c r="E291">
        <f>IF(RAW_ORDERS!M291="%",RAW_ORDERS!H291*RAW_ORDERS!N291/100,RAW_ORDERS!N291)</f>
        <v/>
      </c>
      <c r="F291">
        <f>D291-C291</f>
        <v/>
      </c>
      <c r="G291">
        <f>C291-E291</f>
        <v/>
      </c>
      <c r="H291">
        <f>F291+G291</f>
        <v/>
      </c>
    </row>
    <row r="292">
      <c r="A292">
        <f>RAW_ORDERS!A292</f>
        <v/>
      </c>
      <c r="B292">
        <f>RAW_ORDERS!H292</f>
        <v/>
      </c>
      <c r="C292">
        <f>IF(RAW_ORDERS!I292="%",RAW_ORDERS!H292*RAW_ORDERS!J292/100,RAW_ORDERS!J292)</f>
        <v/>
      </c>
      <c r="D292">
        <f>IF(RAW_ORDERS!K292="%",RAW_ORDERS!H292*RAW_ORDERS!L292/100,RAW_ORDERS!L292)</f>
        <v/>
      </c>
      <c r="E292">
        <f>IF(RAW_ORDERS!M292="%",RAW_ORDERS!H292*RAW_ORDERS!N292/100,RAW_ORDERS!N292)</f>
        <v/>
      </c>
      <c r="F292">
        <f>D292-C292</f>
        <v/>
      </c>
      <c r="G292">
        <f>C292-E292</f>
        <v/>
      </c>
      <c r="H292">
        <f>F292+G292</f>
        <v/>
      </c>
    </row>
    <row r="293">
      <c r="A293">
        <f>RAW_ORDERS!A293</f>
        <v/>
      </c>
      <c r="B293">
        <f>RAW_ORDERS!H293</f>
        <v/>
      </c>
      <c r="C293">
        <f>IF(RAW_ORDERS!I293="%",RAW_ORDERS!H293*RAW_ORDERS!J293/100,RAW_ORDERS!J293)</f>
        <v/>
      </c>
      <c r="D293">
        <f>IF(RAW_ORDERS!K293="%",RAW_ORDERS!H293*RAW_ORDERS!L293/100,RAW_ORDERS!L293)</f>
        <v/>
      </c>
      <c r="E293">
        <f>IF(RAW_ORDERS!M293="%",RAW_ORDERS!H293*RAW_ORDERS!N293/100,RAW_ORDERS!N293)</f>
        <v/>
      </c>
      <c r="F293">
        <f>D293-C293</f>
        <v/>
      </c>
      <c r="G293">
        <f>C293-E293</f>
        <v/>
      </c>
      <c r="H293">
        <f>F293+G293</f>
        <v/>
      </c>
    </row>
    <row r="294">
      <c r="A294">
        <f>RAW_ORDERS!A294</f>
        <v/>
      </c>
      <c r="B294">
        <f>RAW_ORDERS!H294</f>
        <v/>
      </c>
      <c r="C294">
        <f>IF(RAW_ORDERS!I294="%",RAW_ORDERS!H294*RAW_ORDERS!J294/100,RAW_ORDERS!J294)</f>
        <v/>
      </c>
      <c r="D294">
        <f>IF(RAW_ORDERS!K294="%",RAW_ORDERS!H294*RAW_ORDERS!L294/100,RAW_ORDERS!L294)</f>
        <v/>
      </c>
      <c r="E294">
        <f>IF(RAW_ORDERS!M294="%",RAW_ORDERS!H294*RAW_ORDERS!N294/100,RAW_ORDERS!N294)</f>
        <v/>
      </c>
      <c r="F294">
        <f>D294-C294</f>
        <v/>
      </c>
      <c r="G294">
        <f>C294-E294</f>
        <v/>
      </c>
      <c r="H294">
        <f>F294+G294</f>
        <v/>
      </c>
    </row>
    <row r="295">
      <c r="A295">
        <f>RAW_ORDERS!A295</f>
        <v/>
      </c>
      <c r="B295">
        <f>RAW_ORDERS!H295</f>
        <v/>
      </c>
      <c r="C295">
        <f>IF(RAW_ORDERS!I295="%",RAW_ORDERS!H295*RAW_ORDERS!J295/100,RAW_ORDERS!J295)</f>
        <v/>
      </c>
      <c r="D295">
        <f>IF(RAW_ORDERS!K295="%",RAW_ORDERS!H295*RAW_ORDERS!L295/100,RAW_ORDERS!L295)</f>
        <v/>
      </c>
      <c r="E295">
        <f>IF(RAW_ORDERS!M295="%",RAW_ORDERS!H295*RAW_ORDERS!N295/100,RAW_ORDERS!N295)</f>
        <v/>
      </c>
      <c r="F295">
        <f>D295-C295</f>
        <v/>
      </c>
      <c r="G295">
        <f>C295-E295</f>
        <v/>
      </c>
      <c r="H295">
        <f>F295+G295</f>
        <v/>
      </c>
    </row>
    <row r="296">
      <c r="A296">
        <f>RAW_ORDERS!A296</f>
        <v/>
      </c>
      <c r="B296">
        <f>RAW_ORDERS!H296</f>
        <v/>
      </c>
      <c r="C296">
        <f>IF(RAW_ORDERS!I296="%",RAW_ORDERS!H296*RAW_ORDERS!J296/100,RAW_ORDERS!J296)</f>
        <v/>
      </c>
      <c r="D296">
        <f>IF(RAW_ORDERS!K296="%",RAW_ORDERS!H296*RAW_ORDERS!L296/100,RAW_ORDERS!L296)</f>
        <v/>
      </c>
      <c r="E296">
        <f>IF(RAW_ORDERS!M296="%",RAW_ORDERS!H296*RAW_ORDERS!N296/100,RAW_ORDERS!N296)</f>
        <v/>
      </c>
      <c r="F296">
        <f>D296-C296</f>
        <v/>
      </c>
      <c r="G296">
        <f>C296-E296</f>
        <v/>
      </c>
      <c r="H296">
        <f>F296+G296</f>
        <v/>
      </c>
    </row>
    <row r="297">
      <c r="A297">
        <f>RAW_ORDERS!A297</f>
        <v/>
      </c>
      <c r="B297">
        <f>RAW_ORDERS!H297</f>
        <v/>
      </c>
      <c r="C297">
        <f>IF(RAW_ORDERS!I297="%",RAW_ORDERS!H297*RAW_ORDERS!J297/100,RAW_ORDERS!J297)</f>
        <v/>
      </c>
      <c r="D297">
        <f>IF(RAW_ORDERS!K297="%",RAW_ORDERS!H297*RAW_ORDERS!L297/100,RAW_ORDERS!L297)</f>
        <v/>
      </c>
      <c r="E297">
        <f>IF(RAW_ORDERS!M297="%",RAW_ORDERS!H297*RAW_ORDERS!N297/100,RAW_ORDERS!N297)</f>
        <v/>
      </c>
      <c r="F297">
        <f>D297-C297</f>
        <v/>
      </c>
      <c r="G297">
        <f>C297-E297</f>
        <v/>
      </c>
      <c r="H297">
        <f>F297+G297</f>
        <v/>
      </c>
    </row>
    <row r="298">
      <c r="A298">
        <f>RAW_ORDERS!A298</f>
        <v/>
      </c>
      <c r="B298">
        <f>RAW_ORDERS!H298</f>
        <v/>
      </c>
      <c r="C298">
        <f>IF(RAW_ORDERS!I298="%",RAW_ORDERS!H298*RAW_ORDERS!J298/100,RAW_ORDERS!J298)</f>
        <v/>
      </c>
      <c r="D298">
        <f>IF(RAW_ORDERS!K298="%",RAW_ORDERS!H298*RAW_ORDERS!L298/100,RAW_ORDERS!L298)</f>
        <v/>
      </c>
      <c r="E298">
        <f>IF(RAW_ORDERS!M298="%",RAW_ORDERS!H298*RAW_ORDERS!N298/100,RAW_ORDERS!N298)</f>
        <v/>
      </c>
      <c r="F298">
        <f>D298-C298</f>
        <v/>
      </c>
      <c r="G298">
        <f>C298-E298</f>
        <v/>
      </c>
      <c r="H298">
        <f>F298+G298</f>
        <v/>
      </c>
    </row>
    <row r="299">
      <c r="A299">
        <f>RAW_ORDERS!A299</f>
        <v/>
      </c>
      <c r="B299">
        <f>RAW_ORDERS!H299</f>
        <v/>
      </c>
      <c r="C299">
        <f>IF(RAW_ORDERS!I299="%",RAW_ORDERS!H299*RAW_ORDERS!J299/100,RAW_ORDERS!J299)</f>
        <v/>
      </c>
      <c r="D299">
        <f>IF(RAW_ORDERS!K299="%",RAW_ORDERS!H299*RAW_ORDERS!L299/100,RAW_ORDERS!L299)</f>
        <v/>
      </c>
      <c r="E299">
        <f>IF(RAW_ORDERS!M299="%",RAW_ORDERS!H299*RAW_ORDERS!N299/100,RAW_ORDERS!N299)</f>
        <v/>
      </c>
      <c r="F299">
        <f>D299-C299</f>
        <v/>
      </c>
      <c r="G299">
        <f>C299-E299</f>
        <v/>
      </c>
      <c r="H299">
        <f>F299+G299</f>
        <v/>
      </c>
    </row>
    <row r="300">
      <c r="A300">
        <f>RAW_ORDERS!A300</f>
        <v/>
      </c>
      <c r="B300">
        <f>RAW_ORDERS!H300</f>
        <v/>
      </c>
      <c r="C300">
        <f>IF(RAW_ORDERS!I300="%",RAW_ORDERS!H300*RAW_ORDERS!J300/100,RAW_ORDERS!J300)</f>
        <v/>
      </c>
      <c r="D300">
        <f>IF(RAW_ORDERS!K300="%",RAW_ORDERS!H300*RAW_ORDERS!L300/100,RAW_ORDERS!L300)</f>
        <v/>
      </c>
      <c r="E300">
        <f>IF(RAW_ORDERS!M300="%",RAW_ORDERS!H300*RAW_ORDERS!N300/100,RAW_ORDERS!N300)</f>
        <v/>
      </c>
      <c r="F300">
        <f>D300-C300</f>
        <v/>
      </c>
      <c r="G300">
        <f>C300-E300</f>
        <v/>
      </c>
      <c r="H300">
        <f>F300+G300</f>
        <v/>
      </c>
    </row>
    <row r="301">
      <c r="A301">
        <f>RAW_ORDERS!A301</f>
        <v/>
      </c>
      <c r="B301">
        <f>RAW_ORDERS!H301</f>
        <v/>
      </c>
      <c r="C301">
        <f>IF(RAW_ORDERS!I301="%",RAW_ORDERS!H301*RAW_ORDERS!J301/100,RAW_ORDERS!J301)</f>
        <v/>
      </c>
      <c r="D301">
        <f>IF(RAW_ORDERS!K301="%",RAW_ORDERS!H301*RAW_ORDERS!L301/100,RAW_ORDERS!L301)</f>
        <v/>
      </c>
      <c r="E301">
        <f>IF(RAW_ORDERS!M301="%",RAW_ORDERS!H301*RAW_ORDERS!N301/100,RAW_ORDERS!N301)</f>
        <v/>
      </c>
      <c r="F301">
        <f>D301-C301</f>
        <v/>
      </c>
      <c r="G301">
        <f>C301-E301</f>
        <v/>
      </c>
      <c r="H301">
        <f>F301+G301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Transactions</t>
        </is>
      </c>
      <c r="B1">
        <f>COUNTA(RAW_ORDERS!A2:A301)</f>
        <v/>
      </c>
    </row>
    <row r="2">
      <c r="A2" s="1" t="inlineStr">
        <is>
          <t>Total GMV</t>
        </is>
      </c>
      <c r="B2">
        <f>SUM(RAW_ORDERS!H2:H301)</f>
        <v/>
      </c>
    </row>
    <row r="3">
      <c r="A3" s="1" t="inlineStr">
        <is>
          <t>Total ERP Revenue</t>
        </is>
      </c>
      <c r="B3">
        <f>SUM(COMPUTATION!F2:F301)</f>
        <v/>
      </c>
    </row>
    <row r="4">
      <c r="A4" s="1" t="inlineStr">
        <is>
          <t>Total Edviron Net Revenue</t>
        </is>
      </c>
      <c r="B4">
        <f>SUM(COMPUTATION!G2:G301)</f>
        <v/>
      </c>
    </row>
    <row r="5">
      <c r="A5" s="1" t="inlineStr">
        <is>
          <t>Total Gross Revenue</t>
        </is>
      </c>
      <c r="B5">
        <f>SUM(COMPUTATION!H2:H301)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2026-03-03T08:27:56Z</dcterms:created>
  <dcterms:modified xmlns:dcterms="http://purl.org/dc/terms/" xmlns:xsi="http://www.w3.org/2001/XMLSchema-instance" xsi:type="dcterms:W3CDTF">2026-03-03T08:27:56Z</dcterms:modified>
</cp:coreProperties>
</file>